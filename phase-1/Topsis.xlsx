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  <sheet state="visible" name="Лист3" sheetId="3" r:id="rId7"/>
  </sheets>
  <definedNames/>
  <calcPr/>
</workbook>
</file>

<file path=xl/sharedStrings.xml><?xml version="1.0" encoding="utf-8"?>
<sst xmlns="http://schemas.openxmlformats.org/spreadsheetml/2006/main" count="170" uniqueCount="40">
  <si>
    <t>Концепции проектов</t>
  </si>
  <si>
    <t>Короткое название</t>
  </si>
  <si>
    <t>1. Менеджер гарантийных сроков</t>
  </si>
  <si>
    <t>Гарантия</t>
  </si>
  <si>
    <t>2. Сервис поиска попутчика на спонтанные поздки и маршрутов по расписанию</t>
  </si>
  <si>
    <t>Карпулинг</t>
  </si>
  <si>
    <t>3. Сервис для организации совместного использования инструментов</t>
  </si>
  <si>
    <t>Инструменты</t>
  </si>
  <si>
    <t>4. Сервис для организации работы в команде с помощью Kanban доски</t>
  </si>
  <si>
    <t>Таск-трекер</t>
  </si>
  <si>
    <t>Критерии</t>
  </si>
  <si>
    <t>Высокий</t>
  </si>
  <si>
    <t>Конкурентоспособность</t>
  </si>
  <si>
    <t>Средний</t>
  </si>
  <si>
    <t>Простота реализации</t>
  </si>
  <si>
    <t>Низкий</t>
  </si>
  <si>
    <t>Масштабируемость</t>
  </si>
  <si>
    <t>Потенциал монетизации</t>
  </si>
  <si>
    <t>Этап 1</t>
  </si>
  <si>
    <t>Эксперт 1 (Попов)</t>
  </si>
  <si>
    <t>Эксперт 2 (Стрельников)</t>
  </si>
  <si>
    <t>Эксперт 3 (Ячный)</t>
  </si>
  <si>
    <t>Этап 2</t>
  </si>
  <si>
    <t>Агрегация</t>
  </si>
  <si>
    <t>Веса</t>
  </si>
  <si>
    <t>Нормализация</t>
  </si>
  <si>
    <t>Этап 3</t>
  </si>
  <si>
    <t>Взвешивание</t>
  </si>
  <si>
    <t>A+</t>
  </si>
  <si>
    <t>идеально позитивное</t>
  </si>
  <si>
    <t>A-</t>
  </si>
  <si>
    <t>идеально негативное</t>
  </si>
  <si>
    <t>Этап 4</t>
  </si>
  <si>
    <t>Расстояния до идеально позитивного решения</t>
  </si>
  <si>
    <t>di*</t>
  </si>
  <si>
    <t>Расстояния до идеально негативного решения</t>
  </si>
  <si>
    <t>di-</t>
  </si>
  <si>
    <t>Относительная близость к идеально позитивному решению</t>
  </si>
  <si>
    <t>Cci</t>
  </si>
  <si>
    <t>Ранг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</si>
</sst>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bottom/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bottom/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borderId="2" fillId="2" fontId="1" numFmtId="0" xfId="0" applyAlignment="1" applyBorder="1" applyFill="1" applyFont="1">
      <alignment horizontal="left" shrinkToFit="0" vertical="center" wrapText="1"/>
    </xf>
    <xf borderId="3" fillId="0" fontId="1" numFmtId="0" xfId="0" applyAlignment="1" applyBorder="1" applyFont="1">
      <alignment vertical="center"/>
    </xf>
    <xf borderId="0" fillId="0" fontId="2" numFmtId="0" xfId="0" applyFont="1"/>
    <xf borderId="0" fillId="0" fontId="2" numFmtId="0" xfId="0" applyAlignment="1" applyFont="1">
      <alignment readingOrder="0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Border="1" applyFont="1"/>
    <xf borderId="0" fillId="0" fontId="1" numFmtId="0" xfId="0" applyAlignment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5" fillId="2" fontId="1" numFmtId="0" xfId="0" applyAlignment="1" applyBorder="1" applyFill="1" applyFont="1">
      <alignment readingOrder="0"/>
    </xf>
    <xf borderId="6" fillId="0" fontId="3" numFmtId="0" xfId="0" applyBorder="1" applyFont="1"/>
    <xf borderId="7" fillId="0" fontId="3" numFmtId="0" xfId="0" applyBorder="1" applyFont="1"/>
    <xf borderId="2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11" fillId="0" fontId="1" numFmtId="0" xfId="0" applyAlignment="1" applyBorder="1" applyFont="1">
      <alignment readingOrder="0" vertical="center"/>
    </xf>
    <xf borderId="12" fillId="0" fontId="1" numFmtId="0" xfId="0" applyAlignment="1" applyBorder="1" applyFont="1">
      <alignment horizontal="center"/>
    </xf>
    <xf borderId="13" fillId="0" fontId="3" numFmtId="0" xfId="0" applyBorder="1" applyFont="1"/>
    <xf borderId="14" fillId="0" fontId="3" numFmtId="0" xfId="0" applyBorder="1" applyFont="1"/>
    <xf borderId="13" fillId="0" fontId="1" numFmtId="0" xfId="0" applyAlignment="1" applyBorder="1" applyFont="1">
      <alignment vertical="center"/>
    </xf>
    <xf borderId="13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5" fillId="3" fontId="1" numFmtId="0" xfId="0" applyAlignment="1" applyBorder="1" applyFill="1" applyFont="1">
      <alignment vertical="center"/>
    </xf>
    <xf borderId="5" fillId="2" fontId="1" numFmtId="0" xfId="0" applyBorder="1" applyFill="1" applyFont="1"/>
    <xf borderId="5" fillId="4" fontId="1" numFmtId="0" xfId="0" applyAlignment="1" applyBorder="1" applyFill="1" applyFont="1">
      <alignment horizontal="right"/>
    </xf>
    <xf borderId="1" fillId="4" fontId="1" numFmtId="0" xfId="0" applyBorder="1" applyFill="1" applyFont="1"/>
    <xf borderId="1" fillId="4" fontId="1" numFmtId="0" xfId="0" applyAlignment="1" applyBorder="1" applyFill="1" applyFont="1">
      <alignment readingOrder="0"/>
    </xf>
    <xf borderId="1" fillId="0" fontId="1" numFmtId="2" xfId="0" applyAlignment="1" applyBorder="1" applyFont="1" applyNumberFormat="1">
      <alignment horizontal="center"/>
    </xf>
    <xf borderId="15" fillId="0" fontId="1" numFmtId="2" xfId="0" applyAlignment="1" applyBorder="1" applyFont="1" applyNumberFormat="1">
      <alignment horizontal="center"/>
    </xf>
    <xf borderId="11" fillId="0" fontId="1" numFmtId="2" xfId="0" applyAlignment="1" applyBorder="1" applyFont="1" applyNumberFormat="1">
      <alignment horizontal="center"/>
    </xf>
    <xf borderId="16" fillId="0" fontId="1" numFmtId="2" xfId="0" applyAlignment="1" applyBorder="1" applyFont="1" applyNumberFormat="1">
      <alignment horizontal="center"/>
    </xf>
    <xf borderId="13" fillId="0" fontId="2" numFmtId="0" xfId="0" applyBorder="1" applyFont="1"/>
    <xf borderId="13" fillId="0" fontId="1" numFmtId="2" xfId="0" applyAlignment="1" applyBorder="1" applyFont="1" applyNumberFormat="1">
      <alignment horizontal="center"/>
    </xf>
    <xf borderId="1" fillId="5" fontId="1" numFmtId="0" xfId="0" applyAlignment="1" applyBorder="1" applyFill="1" applyFont="1">
      <alignment vertical="center"/>
    </xf>
    <xf borderId="1" fillId="5" fontId="1" numFmtId="2" xfId="0" applyAlignment="1" applyBorder="1" applyFill="1" applyFont="1" applyNumberFormat="1">
      <alignment horizontal="center"/>
    </xf>
    <xf borderId="5" fillId="3" fontId="1" numFmtId="0" xfId="0" applyBorder="1" applyFill="1" applyFont="1"/>
    <xf borderId="17" fillId="2" fontId="1" numFmtId="0" xfId="0" applyAlignment="1" applyBorder="1" applyFill="1" applyFont="1">
      <alignment horizontal="center"/>
    </xf>
    <xf borderId="18" fillId="0" fontId="3" numFmtId="0" xfId="0" applyBorder="1" applyFont="1"/>
    <xf borderId="19" fillId="0" fontId="3" numFmtId="0" xfId="0" applyBorder="1" applyFont="1"/>
    <xf borderId="20" fillId="6" fontId="1" numFmtId="0" xfId="0" applyBorder="1" applyFill="1" applyFont="1"/>
    <xf borderId="2" fillId="0" fontId="1" numFmtId="2" xfId="0" applyAlignment="1" applyBorder="1" applyFont="1" applyNumberFormat="1">
      <alignment horizontal="center"/>
    </xf>
    <xf borderId="21" fillId="6" fontId="1" numFmtId="2" xfId="0" applyBorder="1" applyFill="1" applyFont="1" applyNumberFormat="1"/>
    <xf borderId="19" fillId="6" fontId="1" numFmtId="2" xfId="0" applyBorder="1" applyFill="1" applyFont="1" applyNumberFormat="1"/>
    <xf borderId="22" fillId="6" fontId="1" numFmtId="2" xfId="0" applyBorder="1" applyFill="1" applyFont="1" applyNumberFormat="1"/>
    <xf borderId="20" fillId="7" fontId="1" numFmtId="0" xfId="0" applyBorder="1" applyFill="1" applyFont="1"/>
    <xf borderId="21" fillId="7" fontId="1" numFmtId="2" xfId="0" applyBorder="1" applyFill="1" applyFont="1" applyNumberFormat="1"/>
    <xf borderId="19" fillId="7" fontId="1" numFmtId="2" xfId="0" applyBorder="1" applyFill="1" applyFont="1" applyNumberFormat="1"/>
    <xf borderId="17" fillId="2" fontId="1" numFmtId="0" xfId="0" applyAlignment="1" applyBorder="1" applyFill="1" applyFont="1">
      <alignment horizontal="center" vertical="center"/>
    </xf>
    <xf borderId="1" fillId="0" fontId="1" numFmtId="2" xfId="0" applyBorder="1" applyFont="1" applyNumberForma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24.29"/>
    <col customWidth="1" min="3" max="3" width="7.14"/>
    <col customWidth="1" min="4" max="7" width="8.57"/>
    <col customWidth="1" min="8" max="8" width="7.14"/>
    <col customWidth="1" min="9" max="9" width="6.57"/>
    <col customWidth="1" min="10" max="10" width="6.86"/>
    <col customWidth="1" min="11" max="11" width="7.29"/>
    <col customWidth="1" min="12" max="12" width="7.43"/>
    <col customWidth="1" min="13" max="13" width="7.57"/>
    <col customWidth="1" min="14" max="23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 t="s">
        <v>3</v>
      </c>
    </row>
    <row r="3" ht="14.25" customHeight="1">
      <c r="A3" s="2" t="s">
        <v>4</v>
      </c>
      <c r="B3" s="3" t="s">
        <v>5</v>
      </c>
    </row>
    <row r="4" ht="14.25" customHeight="1">
      <c r="A4" s="2" t="s">
        <v>6</v>
      </c>
      <c r="B4" s="3" t="s">
        <v>7</v>
      </c>
    </row>
    <row r="5" ht="14.25" customHeight="1">
      <c r="A5" s="2" t="s">
        <v>8</v>
      </c>
      <c r="B5" s="3" t="s">
        <v>9</v>
      </c>
    </row>
    <row r="6" ht="14.25" customHeight="1">
      <c r="A6" s="4"/>
      <c r="B6" s="5"/>
    </row>
    <row r="7" ht="14.25" customHeight="1"/>
    <row r="8" ht="14.25" customHeight="1">
      <c r="A8" s="6" t="s">
        <v>10</v>
      </c>
      <c r="B8" s="7"/>
      <c r="D8" s="8" t="s">
        <v>11</v>
      </c>
      <c r="E8" s="9">
        <v>5.0</v>
      </c>
      <c r="F8" s="9">
        <v>7.0</v>
      </c>
      <c r="G8" s="9">
        <v>9.0</v>
      </c>
    </row>
    <row r="9" ht="14.25" customHeight="1">
      <c r="A9" s="10" t="s">
        <v>12</v>
      </c>
      <c r="B9" s="7"/>
      <c r="D9" s="8" t="s">
        <v>13</v>
      </c>
      <c r="E9" s="9">
        <v>3.0</v>
      </c>
      <c r="F9" s="9">
        <v>5.0</v>
      </c>
      <c r="G9" s="9">
        <v>7.0</v>
      </c>
    </row>
    <row r="10" ht="14.25" customHeight="1">
      <c r="A10" s="10" t="s">
        <v>14</v>
      </c>
      <c r="B10" s="7"/>
      <c r="D10" s="8" t="s">
        <v>15</v>
      </c>
      <c r="E10" s="9">
        <v>1.0</v>
      </c>
      <c r="F10" s="9">
        <v>3.0</v>
      </c>
      <c r="G10" s="9">
        <v>5.0</v>
      </c>
    </row>
    <row r="11" ht="14.25" customHeight="1">
      <c r="A11" s="10" t="s">
        <v>16</v>
      </c>
      <c r="B11" s="7"/>
    </row>
    <row r="12" ht="14.25" customHeight="1">
      <c r="A12" s="10" t="s">
        <v>17</v>
      </c>
      <c r="B12" s="11"/>
    </row>
    <row r="13" ht="14.25" customHeight="1">
      <c r="A13" s="12"/>
      <c r="B13" s="5"/>
    </row>
    <row r="14" ht="14.25" customHeight="1"/>
    <row r="15" ht="14.25" customHeight="1">
      <c r="A15" s="13" t="s">
        <v>18</v>
      </c>
    </row>
    <row r="16" ht="14.25" customHeight="1">
      <c r="B16" s="14" t="s">
        <v>19</v>
      </c>
    </row>
    <row r="17" ht="14.25" customHeight="1">
      <c r="B17" s="10" t="s">
        <v>12</v>
      </c>
      <c r="C17" s="15"/>
      <c r="D17" s="15"/>
      <c r="E17" s="10" t="s">
        <v>14</v>
      </c>
      <c r="F17" s="15"/>
      <c r="G17" s="15"/>
      <c r="H17" s="10" t="s">
        <v>16</v>
      </c>
      <c r="I17" s="15"/>
      <c r="J17" s="15"/>
      <c r="K17" s="10" t="s">
        <v>17</v>
      </c>
      <c r="L17" s="15"/>
      <c r="M17" s="16"/>
    </row>
    <row r="18" ht="14.25" customHeight="1">
      <c r="A18" s="3" t="s">
        <v>3</v>
      </c>
      <c r="B18" s="17" t="s">
        <v>13</v>
      </c>
      <c r="C18" s="15"/>
      <c r="D18" s="16"/>
      <c r="E18" s="17" t="s">
        <v>13</v>
      </c>
      <c r="F18" s="15"/>
      <c r="G18" s="16"/>
      <c r="H18" s="18" t="s">
        <v>15</v>
      </c>
      <c r="I18" s="19"/>
      <c r="J18" s="20"/>
      <c r="K18" s="18" t="s">
        <v>15</v>
      </c>
      <c r="L18" s="19"/>
      <c r="M18" s="20"/>
    </row>
    <row r="19" ht="14.25" customHeight="1">
      <c r="A19" s="3" t="s">
        <v>5</v>
      </c>
      <c r="B19" s="17" t="s">
        <v>11</v>
      </c>
      <c r="C19" s="15"/>
      <c r="D19" s="16"/>
      <c r="E19" s="17" t="s">
        <v>11</v>
      </c>
      <c r="F19" s="15"/>
      <c r="G19" s="16"/>
      <c r="H19" s="17" t="s">
        <v>11</v>
      </c>
      <c r="I19" s="15"/>
      <c r="J19" s="16"/>
      <c r="K19" s="17" t="s">
        <v>11</v>
      </c>
      <c r="L19" s="15"/>
      <c r="M19" s="16"/>
    </row>
    <row r="20" ht="14.25" customHeight="1">
      <c r="A20" s="3" t="s">
        <v>7</v>
      </c>
      <c r="B20" s="17" t="s">
        <v>15</v>
      </c>
      <c r="C20" s="15"/>
      <c r="D20" s="16"/>
      <c r="E20" s="17" t="s">
        <v>11</v>
      </c>
      <c r="F20" s="15"/>
      <c r="G20" s="16"/>
      <c r="H20" s="17" t="s">
        <v>11</v>
      </c>
      <c r="I20" s="15"/>
      <c r="J20" s="16"/>
      <c r="K20" s="17" t="s">
        <v>13</v>
      </c>
      <c r="L20" s="15"/>
      <c r="M20" s="16"/>
    </row>
    <row r="21" ht="14.25" customHeight="1">
      <c r="A21" s="21" t="s">
        <v>9</v>
      </c>
      <c r="B21" s="17" t="s">
        <v>15</v>
      </c>
      <c r="C21" s="15"/>
      <c r="D21" s="16"/>
      <c r="E21" s="22" t="s">
        <v>13</v>
      </c>
      <c r="F21" s="23"/>
      <c r="G21" s="24"/>
      <c r="H21" s="22" t="s">
        <v>13</v>
      </c>
      <c r="I21" s="23"/>
      <c r="J21" s="24"/>
      <c r="K21" s="18" t="s">
        <v>15</v>
      </c>
      <c r="L21" s="19"/>
      <c r="M21" s="20"/>
    </row>
    <row r="22" ht="14.25" customHeight="1">
      <c r="A22" s="25"/>
      <c r="B22" s="26"/>
      <c r="C22" s="23"/>
      <c r="D22" s="23"/>
      <c r="E22" s="26"/>
      <c r="F22" s="23"/>
      <c r="G22" s="23"/>
      <c r="H22" s="26"/>
      <c r="I22" s="23"/>
      <c r="J22" s="23"/>
      <c r="K22" s="26"/>
      <c r="L22" s="23"/>
      <c r="M22" s="23"/>
    </row>
    <row r="23" ht="14.25" customHeight="1"/>
    <row r="24" ht="14.25" customHeight="1">
      <c r="A24" s="3" t="s">
        <v>3</v>
      </c>
      <c r="B24" s="27">
        <f t="shared" ref="B24:B27" si="1">VLOOKUP(B18,$D$8:$G$10,2,FALSE)</f>
        <v>3</v>
      </c>
      <c r="C24" s="28">
        <f t="shared" ref="C24:C27" si="2">VLOOKUP(B18,$D$8:$G$10,3,FALSE)</f>
        <v>5</v>
      </c>
      <c r="D24" s="29">
        <f t="shared" ref="D24:D27" si="3">VLOOKUP(B18,$D$8:$G$10,4,FALSE)</f>
        <v>7</v>
      </c>
      <c r="E24" s="27">
        <f t="shared" ref="E24:E27" si="4">VLOOKUP(E18,$D$8:$G$10,2,FALSE)</f>
        <v>3</v>
      </c>
      <c r="F24" s="28">
        <f t="shared" ref="F24:F27" si="5">VLOOKUP(E18,$D$8:$G$10,3,FALSE)</f>
        <v>5</v>
      </c>
      <c r="G24" s="29">
        <f t="shared" ref="G24:G27" si="6">VLOOKUP(E18,$D$8:$G$10,4,FALSE)</f>
        <v>7</v>
      </c>
      <c r="H24" s="27">
        <f t="shared" ref="H24:H27" si="7">VLOOKUP(H18,$D$8:$G$10,2,FALSE)</f>
        <v>1</v>
      </c>
      <c r="I24" s="28">
        <f t="shared" ref="I24:I27" si="8">VLOOKUP(H18,$D$8:$G$10,3,FALSE)</f>
        <v>3</v>
      </c>
      <c r="J24" s="29">
        <f t="shared" ref="J24:J27" si="9">VLOOKUP(H18,$D$8:$G$10,4,FALSE)</f>
        <v>5</v>
      </c>
      <c r="K24" s="27">
        <f t="shared" ref="K24:K27" si="10">VLOOKUP(K18,$D$8:$G$10,2,FALSE)</f>
        <v>1</v>
      </c>
      <c r="L24" s="28">
        <f t="shared" ref="L24:L27" si="11">VLOOKUP(K18,$D$8:$G$10,3,FALSE)</f>
        <v>3</v>
      </c>
      <c r="M24" s="29">
        <f t="shared" ref="M24:M27" si="12">VLOOKUP(K18,$D$8:$G$10,4,FALSE)</f>
        <v>5</v>
      </c>
    </row>
    <row r="25" ht="14.25" customHeight="1">
      <c r="A25" s="3" t="s">
        <v>5</v>
      </c>
      <c r="B25" s="27">
        <f t="shared" si="1"/>
        <v>5</v>
      </c>
      <c r="C25" s="28">
        <f t="shared" si="2"/>
        <v>7</v>
      </c>
      <c r="D25" s="29">
        <f t="shared" si="3"/>
        <v>9</v>
      </c>
      <c r="E25" s="27">
        <f t="shared" si="4"/>
        <v>5</v>
      </c>
      <c r="F25" s="28">
        <f t="shared" si="5"/>
        <v>7</v>
      </c>
      <c r="G25" s="29">
        <f t="shared" si="6"/>
        <v>9</v>
      </c>
      <c r="H25" s="27">
        <f t="shared" si="7"/>
        <v>5</v>
      </c>
      <c r="I25" s="28">
        <f t="shared" si="8"/>
        <v>7</v>
      </c>
      <c r="J25" s="29">
        <f t="shared" si="9"/>
        <v>9</v>
      </c>
      <c r="K25" s="27">
        <f t="shared" si="10"/>
        <v>5</v>
      </c>
      <c r="L25" s="28">
        <f t="shared" si="11"/>
        <v>7</v>
      </c>
      <c r="M25" s="29">
        <f t="shared" si="12"/>
        <v>9</v>
      </c>
    </row>
    <row r="26" ht="14.25" customHeight="1">
      <c r="A26" s="3" t="s">
        <v>7</v>
      </c>
      <c r="B26" s="27">
        <f t="shared" si="1"/>
        <v>1</v>
      </c>
      <c r="C26" s="28">
        <f t="shared" si="2"/>
        <v>3</v>
      </c>
      <c r="D26" s="29">
        <f t="shared" si="3"/>
        <v>5</v>
      </c>
      <c r="E26" s="27">
        <f t="shared" si="4"/>
        <v>5</v>
      </c>
      <c r="F26" s="28">
        <f t="shared" si="5"/>
        <v>7</v>
      </c>
      <c r="G26" s="29">
        <f t="shared" si="6"/>
        <v>9</v>
      </c>
      <c r="H26" s="27">
        <f t="shared" si="7"/>
        <v>5</v>
      </c>
      <c r="I26" s="28">
        <f t="shared" si="8"/>
        <v>7</v>
      </c>
      <c r="J26" s="29">
        <f t="shared" si="9"/>
        <v>9</v>
      </c>
      <c r="K26" s="27">
        <f t="shared" si="10"/>
        <v>3</v>
      </c>
      <c r="L26" s="28">
        <f t="shared" si="11"/>
        <v>5</v>
      </c>
      <c r="M26" s="29">
        <f t="shared" si="12"/>
        <v>7</v>
      </c>
    </row>
    <row r="27" ht="14.25" customHeight="1">
      <c r="A27" s="21" t="s">
        <v>9</v>
      </c>
      <c r="B27" s="27">
        <f t="shared" si="1"/>
        <v>1</v>
      </c>
      <c r="C27" s="28">
        <f t="shared" si="2"/>
        <v>3</v>
      </c>
      <c r="D27" s="29">
        <f t="shared" si="3"/>
        <v>5</v>
      </c>
      <c r="E27" s="27">
        <f t="shared" si="4"/>
        <v>3</v>
      </c>
      <c r="F27" s="28">
        <f t="shared" si="5"/>
        <v>5</v>
      </c>
      <c r="G27" s="29">
        <f t="shared" si="6"/>
        <v>7</v>
      </c>
      <c r="H27" s="27">
        <f t="shared" si="7"/>
        <v>3</v>
      </c>
      <c r="I27" s="28">
        <f t="shared" si="8"/>
        <v>5</v>
      </c>
      <c r="J27" s="29">
        <f t="shared" si="9"/>
        <v>7</v>
      </c>
      <c r="K27" s="27">
        <f t="shared" si="10"/>
        <v>1</v>
      </c>
      <c r="L27" s="28">
        <f t="shared" si="11"/>
        <v>3</v>
      </c>
      <c r="M27" s="29">
        <f t="shared" si="12"/>
        <v>5</v>
      </c>
    </row>
    <row r="28" ht="14.25" customHeight="1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</row>
    <row r="29" ht="14.25" customHeight="1"/>
    <row r="30" ht="14.25" customHeight="1">
      <c r="B30" s="14" t="s">
        <v>20</v>
      </c>
    </row>
    <row r="31" ht="14.25" customHeight="1">
      <c r="B31" s="10" t="s">
        <v>12</v>
      </c>
      <c r="C31" s="15"/>
      <c r="D31" s="15"/>
      <c r="E31" s="10" t="s">
        <v>14</v>
      </c>
      <c r="F31" s="15"/>
      <c r="G31" s="16"/>
      <c r="H31" s="30" t="s">
        <v>16</v>
      </c>
      <c r="I31" s="15"/>
      <c r="J31" s="15"/>
      <c r="K31" s="10" t="s">
        <v>17</v>
      </c>
      <c r="L31" s="15"/>
      <c r="M31" s="16"/>
    </row>
    <row r="32" ht="14.25" customHeight="1">
      <c r="A32" s="3" t="s">
        <v>3</v>
      </c>
      <c r="B32" s="17" t="s">
        <v>13</v>
      </c>
      <c r="C32" s="15"/>
      <c r="D32" s="16"/>
      <c r="E32" s="17" t="s">
        <v>13</v>
      </c>
      <c r="F32" s="15"/>
      <c r="G32" s="16"/>
      <c r="H32" s="18" t="s">
        <v>15</v>
      </c>
      <c r="I32" s="19"/>
      <c r="J32" s="20"/>
      <c r="K32" s="18" t="s">
        <v>15</v>
      </c>
      <c r="L32" s="19"/>
      <c r="M32" s="20"/>
    </row>
    <row r="33" ht="14.25" customHeight="1">
      <c r="A33" s="3" t="s">
        <v>5</v>
      </c>
      <c r="B33" s="17" t="s">
        <v>13</v>
      </c>
      <c r="C33" s="15"/>
      <c r="D33" s="16"/>
      <c r="E33" s="17" t="s">
        <v>13</v>
      </c>
      <c r="F33" s="15"/>
      <c r="G33" s="16"/>
      <c r="H33" s="17" t="s">
        <v>13</v>
      </c>
      <c r="I33" s="15"/>
      <c r="J33" s="16"/>
      <c r="K33" s="17" t="s">
        <v>13</v>
      </c>
      <c r="L33" s="15"/>
      <c r="M33" s="16"/>
    </row>
    <row r="34" ht="14.25" customHeight="1">
      <c r="A34" s="3" t="s">
        <v>7</v>
      </c>
      <c r="B34" s="17" t="s">
        <v>15</v>
      </c>
      <c r="C34" s="15"/>
      <c r="D34" s="16"/>
      <c r="E34" s="17" t="s">
        <v>11</v>
      </c>
      <c r="F34" s="15"/>
      <c r="G34" s="16"/>
      <c r="H34" s="17" t="s">
        <v>11</v>
      </c>
      <c r="I34" s="15"/>
      <c r="J34" s="16"/>
      <c r="K34" s="17" t="s">
        <v>13</v>
      </c>
      <c r="L34" s="15"/>
      <c r="M34" s="16"/>
    </row>
    <row r="35" ht="14.25" customHeight="1">
      <c r="A35" s="21" t="s">
        <v>9</v>
      </c>
      <c r="B35" s="17" t="s">
        <v>15</v>
      </c>
      <c r="C35" s="15"/>
      <c r="D35" s="16"/>
      <c r="E35" s="17" t="s">
        <v>13</v>
      </c>
      <c r="F35" s="15"/>
      <c r="G35" s="16"/>
      <c r="H35" s="18" t="s">
        <v>15</v>
      </c>
      <c r="I35" s="19"/>
      <c r="J35" s="20"/>
      <c r="K35" s="18" t="s">
        <v>15</v>
      </c>
      <c r="L35" s="19"/>
      <c r="M35" s="20"/>
    </row>
    <row r="36" ht="14.25" customHeight="1">
      <c r="A36" s="25"/>
      <c r="B36" s="26"/>
      <c r="C36" s="23"/>
      <c r="D36" s="23"/>
      <c r="E36" s="31"/>
      <c r="H36" s="26"/>
      <c r="I36" s="23"/>
      <c r="J36" s="23"/>
      <c r="K36" s="26"/>
      <c r="L36" s="23"/>
      <c r="M36" s="23"/>
    </row>
    <row r="37" ht="14.25" customHeight="1"/>
    <row r="38" ht="14.25" customHeight="1">
      <c r="A38" s="3" t="s">
        <v>3</v>
      </c>
      <c r="B38" s="27">
        <f t="shared" ref="B38:B41" si="13">VLOOKUP(B32,$D$8:$G$10,2,FALSE)</f>
        <v>3</v>
      </c>
      <c r="C38" s="28">
        <f t="shared" ref="C38:C41" si="14">VLOOKUP(B32,$D$8:$G$10,3,FALSE)</f>
        <v>5</v>
      </c>
      <c r="D38" s="29">
        <f t="shared" ref="D38:D41" si="15">VLOOKUP(B32,$D$8:$G$10,4,FALSE)</f>
        <v>7</v>
      </c>
      <c r="E38" s="27">
        <f t="shared" ref="E38:E41" si="16">VLOOKUP(E32,$D$8:$G$10,2,FALSE)</f>
        <v>3</v>
      </c>
      <c r="F38" s="28">
        <f t="shared" ref="F38:F41" si="17">VLOOKUP(E32,$D$8:$G$10,3,FALSE)</f>
        <v>5</v>
      </c>
      <c r="G38" s="29">
        <f t="shared" ref="G38:G41" si="18">VLOOKUP(E32,$D$8:$G$10,4,FALSE)</f>
        <v>7</v>
      </c>
      <c r="H38" s="27">
        <f t="shared" ref="H38:H41" si="19">VLOOKUP(H32,$D$8:$G$10,2,FALSE)</f>
        <v>1</v>
      </c>
      <c r="I38" s="28">
        <f t="shared" ref="I38:I41" si="20">VLOOKUP(H32,$D$8:$G$10,3,FALSE)</f>
        <v>3</v>
      </c>
      <c r="J38" s="29">
        <f t="shared" ref="J38:J41" si="21">VLOOKUP(H32,$D$8:$G$10,4,FALSE)</f>
        <v>5</v>
      </c>
      <c r="K38" s="27">
        <f t="shared" ref="K38:K41" si="22">VLOOKUP(K32,$D$8:$G$10,2,FALSE)</f>
        <v>1</v>
      </c>
      <c r="L38" s="28">
        <f t="shared" ref="L38:L41" si="23">VLOOKUP(K32,$D$8:$G$10,3,FALSE)</f>
        <v>3</v>
      </c>
      <c r="M38" s="29">
        <f t="shared" ref="M38:M41" si="24">VLOOKUP(K32,$D$8:$G$10,4,FALSE)</f>
        <v>5</v>
      </c>
    </row>
    <row r="39" ht="14.25" customHeight="1">
      <c r="A39" s="3" t="s">
        <v>5</v>
      </c>
      <c r="B39" s="27">
        <f t="shared" si="13"/>
        <v>3</v>
      </c>
      <c r="C39" s="28">
        <f t="shared" si="14"/>
        <v>5</v>
      </c>
      <c r="D39" s="29">
        <f t="shared" si="15"/>
        <v>7</v>
      </c>
      <c r="E39" s="27">
        <f t="shared" si="16"/>
        <v>3</v>
      </c>
      <c r="F39" s="28">
        <f t="shared" si="17"/>
        <v>5</v>
      </c>
      <c r="G39" s="29">
        <f t="shared" si="18"/>
        <v>7</v>
      </c>
      <c r="H39" s="27">
        <f t="shared" si="19"/>
        <v>3</v>
      </c>
      <c r="I39" s="28">
        <f t="shared" si="20"/>
        <v>5</v>
      </c>
      <c r="J39" s="29">
        <f t="shared" si="21"/>
        <v>7</v>
      </c>
      <c r="K39" s="27">
        <f t="shared" si="22"/>
        <v>3</v>
      </c>
      <c r="L39" s="28">
        <f t="shared" si="23"/>
        <v>5</v>
      </c>
      <c r="M39" s="29">
        <f t="shared" si="24"/>
        <v>7</v>
      </c>
    </row>
    <row r="40" ht="14.25" customHeight="1">
      <c r="A40" s="3" t="s">
        <v>7</v>
      </c>
      <c r="B40" s="27">
        <f t="shared" si="13"/>
        <v>1</v>
      </c>
      <c r="C40" s="28">
        <f t="shared" si="14"/>
        <v>3</v>
      </c>
      <c r="D40" s="29">
        <f t="shared" si="15"/>
        <v>5</v>
      </c>
      <c r="E40" s="27">
        <f t="shared" si="16"/>
        <v>5</v>
      </c>
      <c r="F40" s="28">
        <f t="shared" si="17"/>
        <v>7</v>
      </c>
      <c r="G40" s="29">
        <f t="shared" si="18"/>
        <v>9</v>
      </c>
      <c r="H40" s="27">
        <f t="shared" si="19"/>
        <v>5</v>
      </c>
      <c r="I40" s="28">
        <f t="shared" si="20"/>
        <v>7</v>
      </c>
      <c r="J40" s="29">
        <f t="shared" si="21"/>
        <v>9</v>
      </c>
      <c r="K40" s="27">
        <f t="shared" si="22"/>
        <v>3</v>
      </c>
      <c r="L40" s="28">
        <f t="shared" si="23"/>
        <v>5</v>
      </c>
      <c r="M40" s="29">
        <f t="shared" si="24"/>
        <v>7</v>
      </c>
    </row>
    <row r="41" ht="14.25" customHeight="1">
      <c r="A41" s="3" t="s">
        <v>9</v>
      </c>
      <c r="B41" s="27">
        <f t="shared" si="13"/>
        <v>1</v>
      </c>
      <c r="C41" s="28">
        <f t="shared" si="14"/>
        <v>3</v>
      </c>
      <c r="D41" s="29">
        <f t="shared" si="15"/>
        <v>5</v>
      </c>
      <c r="E41" s="27">
        <f t="shared" si="16"/>
        <v>3</v>
      </c>
      <c r="F41" s="28">
        <f t="shared" si="17"/>
        <v>5</v>
      </c>
      <c r="G41" s="29">
        <f t="shared" si="18"/>
        <v>7</v>
      </c>
      <c r="H41" s="27">
        <f t="shared" si="19"/>
        <v>1</v>
      </c>
      <c r="I41" s="28">
        <f t="shared" si="20"/>
        <v>3</v>
      </c>
      <c r="J41" s="29">
        <f t="shared" si="21"/>
        <v>5</v>
      </c>
      <c r="K41" s="27">
        <f t="shared" si="22"/>
        <v>1</v>
      </c>
      <c r="L41" s="28">
        <f t="shared" si="23"/>
        <v>3</v>
      </c>
      <c r="M41" s="29">
        <f t="shared" si="24"/>
        <v>5</v>
      </c>
    </row>
    <row r="42" ht="14.25" customHeight="1"/>
    <row r="43" ht="14.25" customHeight="1"/>
    <row r="44" ht="14.25" customHeight="1">
      <c r="B44" s="14" t="s">
        <v>21</v>
      </c>
    </row>
    <row r="45" ht="14.25" customHeight="1">
      <c r="B45" s="10" t="s">
        <v>12</v>
      </c>
      <c r="C45" s="15"/>
      <c r="D45" s="15"/>
      <c r="E45" s="10" t="s">
        <v>14</v>
      </c>
      <c r="F45" s="15"/>
      <c r="G45" s="16"/>
      <c r="H45" s="30" t="s">
        <v>16</v>
      </c>
      <c r="I45" s="15"/>
      <c r="J45" s="15"/>
      <c r="K45" s="10" t="s">
        <v>17</v>
      </c>
      <c r="L45" s="15"/>
      <c r="M45" s="16"/>
    </row>
    <row r="46" ht="14.25" customHeight="1">
      <c r="A46" s="3" t="s">
        <v>3</v>
      </c>
      <c r="B46" s="17" t="s">
        <v>11</v>
      </c>
      <c r="C46" s="15"/>
      <c r="D46" s="16"/>
      <c r="E46" s="17" t="s">
        <v>13</v>
      </c>
      <c r="F46" s="15"/>
      <c r="G46" s="16"/>
      <c r="H46" s="18" t="s">
        <v>15</v>
      </c>
      <c r="I46" s="19"/>
      <c r="J46" s="20"/>
      <c r="K46" s="17" t="s">
        <v>13</v>
      </c>
      <c r="L46" s="15"/>
      <c r="M46" s="16"/>
    </row>
    <row r="47" ht="14.25" customHeight="1">
      <c r="A47" s="3" t="s">
        <v>5</v>
      </c>
      <c r="B47" s="17" t="s">
        <v>11</v>
      </c>
      <c r="C47" s="15"/>
      <c r="D47" s="16"/>
      <c r="E47" s="17" t="s">
        <v>11</v>
      </c>
      <c r="F47" s="15"/>
      <c r="G47" s="16"/>
      <c r="H47" s="17" t="s">
        <v>11</v>
      </c>
      <c r="I47" s="15"/>
      <c r="J47" s="16"/>
      <c r="K47" s="17" t="s">
        <v>11</v>
      </c>
      <c r="L47" s="15"/>
      <c r="M47" s="16"/>
    </row>
    <row r="48" ht="14.25" customHeight="1">
      <c r="A48" s="3" t="s">
        <v>7</v>
      </c>
      <c r="B48" s="17" t="s">
        <v>13</v>
      </c>
      <c r="C48" s="15"/>
      <c r="D48" s="16"/>
      <c r="E48" s="17" t="s">
        <v>11</v>
      </c>
      <c r="F48" s="15"/>
      <c r="G48" s="16"/>
      <c r="H48" s="22" t="s">
        <v>13</v>
      </c>
      <c r="I48" s="23"/>
      <c r="J48" s="24"/>
      <c r="K48" s="17" t="s">
        <v>13</v>
      </c>
      <c r="L48" s="15"/>
      <c r="M48" s="16"/>
    </row>
    <row r="49" ht="14.25" customHeight="1">
      <c r="A49" s="21" t="s">
        <v>9</v>
      </c>
      <c r="B49" s="17" t="s">
        <v>15</v>
      </c>
      <c r="C49" s="15"/>
      <c r="D49" s="16"/>
      <c r="E49" s="17" t="s">
        <v>13</v>
      </c>
      <c r="F49" s="15"/>
      <c r="G49" s="16"/>
      <c r="H49" s="17" t="s">
        <v>11</v>
      </c>
      <c r="I49" s="15"/>
      <c r="J49" s="16"/>
      <c r="K49" s="18" t="s">
        <v>15</v>
      </c>
      <c r="L49" s="19"/>
      <c r="M49" s="20"/>
    </row>
    <row r="50" ht="14.25" customHeight="1">
      <c r="A50" s="25"/>
      <c r="B50" s="26"/>
      <c r="C50" s="23"/>
      <c r="D50" s="23"/>
      <c r="E50" s="31"/>
      <c r="H50" s="26"/>
      <c r="I50" s="23"/>
      <c r="J50" s="23"/>
      <c r="K50" s="26"/>
      <c r="L50" s="23"/>
      <c r="M50" s="23"/>
    </row>
    <row r="51" ht="14.25" customHeight="1"/>
    <row r="52" ht="14.25" customHeight="1">
      <c r="A52" s="3" t="s">
        <v>3</v>
      </c>
      <c r="B52" s="27">
        <f t="shared" ref="B52:B55" si="25">VLOOKUP(B46,$D$8:$G$10,2,FALSE)</f>
        <v>5</v>
      </c>
      <c r="C52" s="28">
        <f t="shared" ref="C52:C55" si="26">VLOOKUP(B46,$D$8:$G$10,3,FALSE)</f>
        <v>7</v>
      </c>
      <c r="D52" s="29">
        <f t="shared" ref="D52:D55" si="27">VLOOKUP(B46,$D$8:$G$10,4,FALSE)</f>
        <v>9</v>
      </c>
      <c r="E52" s="27">
        <f t="shared" ref="E52:E55" si="28">VLOOKUP(E46,$D$8:$G$10,2,FALSE)</f>
        <v>3</v>
      </c>
      <c r="F52" s="28">
        <f t="shared" ref="F52:F55" si="29">VLOOKUP(E46,$D$8:$G$10,3,FALSE)</f>
        <v>5</v>
      </c>
      <c r="G52" s="29">
        <f t="shared" ref="G52:G55" si="30">VLOOKUP(E46,$D$8:$G$10,4,FALSE)</f>
        <v>7</v>
      </c>
      <c r="H52" s="27">
        <f t="shared" ref="H52:H55" si="31">VLOOKUP(H46,$D$8:$G$10,2,FALSE)</f>
        <v>1</v>
      </c>
      <c r="I52" s="28">
        <f t="shared" ref="I52:I55" si="32">VLOOKUP(H46,$D$8:$G$10,3,FALSE)</f>
        <v>3</v>
      </c>
      <c r="J52" s="29">
        <f t="shared" ref="J52:J55" si="33">VLOOKUP(H46,$D$8:$G$10,4,FALSE)</f>
        <v>5</v>
      </c>
      <c r="K52" s="27">
        <f t="shared" ref="K52:K55" si="34">VLOOKUP(K46,$D$8:$G$10,2,FALSE)</f>
        <v>3</v>
      </c>
      <c r="L52" s="28">
        <f t="shared" ref="L52:L55" si="35">VLOOKUP(K46,$D$8:$G$10,3,FALSE)</f>
        <v>5</v>
      </c>
      <c r="M52" s="29">
        <f t="shared" ref="M52:M55" si="36">VLOOKUP(K46,$D$8:$G$10,4,FALSE)</f>
        <v>7</v>
      </c>
    </row>
    <row r="53" ht="14.25" customHeight="1">
      <c r="A53" s="3" t="s">
        <v>5</v>
      </c>
      <c r="B53" s="27">
        <f t="shared" si="25"/>
        <v>5</v>
      </c>
      <c r="C53" s="28">
        <f t="shared" si="26"/>
        <v>7</v>
      </c>
      <c r="D53" s="29">
        <f t="shared" si="27"/>
        <v>9</v>
      </c>
      <c r="E53" s="27">
        <f t="shared" si="28"/>
        <v>5</v>
      </c>
      <c r="F53" s="28">
        <f t="shared" si="29"/>
        <v>7</v>
      </c>
      <c r="G53" s="29">
        <f t="shared" si="30"/>
        <v>9</v>
      </c>
      <c r="H53" s="27">
        <f t="shared" si="31"/>
        <v>5</v>
      </c>
      <c r="I53" s="28">
        <f t="shared" si="32"/>
        <v>7</v>
      </c>
      <c r="J53" s="29">
        <f t="shared" si="33"/>
        <v>9</v>
      </c>
      <c r="K53" s="27">
        <f t="shared" si="34"/>
        <v>5</v>
      </c>
      <c r="L53" s="28">
        <f t="shared" si="35"/>
        <v>7</v>
      </c>
      <c r="M53" s="29">
        <f t="shared" si="36"/>
        <v>9</v>
      </c>
    </row>
    <row r="54" ht="14.25" customHeight="1">
      <c r="A54" s="3" t="s">
        <v>7</v>
      </c>
      <c r="B54" s="27">
        <f t="shared" si="25"/>
        <v>3</v>
      </c>
      <c r="C54" s="28">
        <f t="shared" si="26"/>
        <v>5</v>
      </c>
      <c r="D54" s="29">
        <f t="shared" si="27"/>
        <v>7</v>
      </c>
      <c r="E54" s="27">
        <f t="shared" si="28"/>
        <v>5</v>
      </c>
      <c r="F54" s="28">
        <f t="shared" si="29"/>
        <v>7</v>
      </c>
      <c r="G54" s="29">
        <f t="shared" si="30"/>
        <v>9</v>
      </c>
      <c r="H54" s="27">
        <f t="shared" si="31"/>
        <v>3</v>
      </c>
      <c r="I54" s="28">
        <f t="shared" si="32"/>
        <v>5</v>
      </c>
      <c r="J54" s="29">
        <f t="shared" si="33"/>
        <v>7</v>
      </c>
      <c r="K54" s="27">
        <f t="shared" si="34"/>
        <v>3</v>
      </c>
      <c r="L54" s="28">
        <f t="shared" si="35"/>
        <v>5</v>
      </c>
      <c r="M54" s="29">
        <f t="shared" si="36"/>
        <v>7</v>
      </c>
    </row>
    <row r="55" ht="14.25" customHeight="1">
      <c r="A55" s="21" t="s">
        <v>9</v>
      </c>
      <c r="B55" s="27">
        <f t="shared" si="25"/>
        <v>1</v>
      </c>
      <c r="C55" s="28">
        <f t="shared" si="26"/>
        <v>3</v>
      </c>
      <c r="D55" s="29">
        <f t="shared" si="27"/>
        <v>5</v>
      </c>
      <c r="E55" s="27">
        <f t="shared" si="28"/>
        <v>3</v>
      </c>
      <c r="F55" s="28">
        <f t="shared" si="29"/>
        <v>5</v>
      </c>
      <c r="G55" s="29">
        <f t="shared" si="30"/>
        <v>7</v>
      </c>
      <c r="H55" s="27">
        <f t="shared" si="31"/>
        <v>5</v>
      </c>
      <c r="I55" s="28">
        <f t="shared" si="32"/>
        <v>7</v>
      </c>
      <c r="J55" s="29">
        <f t="shared" si="33"/>
        <v>9</v>
      </c>
      <c r="K55" s="27">
        <f t="shared" si="34"/>
        <v>1</v>
      </c>
      <c r="L55" s="28">
        <f t="shared" si="35"/>
        <v>3</v>
      </c>
      <c r="M55" s="29">
        <f t="shared" si="36"/>
        <v>5</v>
      </c>
    </row>
    <row r="56" ht="14.25" customHeight="1">
      <c r="A56" s="25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</row>
    <row r="57" ht="14.25" customHeight="1"/>
    <row r="58" ht="14.25" customHeight="1">
      <c r="A58" s="32" t="s">
        <v>22</v>
      </c>
    </row>
    <row r="59" ht="14.25" customHeight="1">
      <c r="B59" s="33" t="s">
        <v>23</v>
      </c>
    </row>
    <row r="60" ht="14.25" customHeight="1">
      <c r="B60" s="10" t="s">
        <v>12</v>
      </c>
      <c r="C60" s="15"/>
      <c r="D60" s="15"/>
      <c r="E60" s="10" t="s">
        <v>14</v>
      </c>
      <c r="F60" s="15"/>
      <c r="G60" s="16"/>
      <c r="H60" s="10" t="s">
        <v>16</v>
      </c>
      <c r="I60" s="15"/>
      <c r="J60" s="15"/>
      <c r="K60" s="10" t="s">
        <v>17</v>
      </c>
      <c r="L60" s="15"/>
      <c r="M60" s="16"/>
    </row>
    <row r="61" ht="14.25" customHeight="1">
      <c r="A61" s="34" t="s">
        <v>24</v>
      </c>
      <c r="B61" s="35">
        <v>5.0</v>
      </c>
      <c r="C61" s="35">
        <v>7.0</v>
      </c>
      <c r="D61" s="35">
        <v>9.0</v>
      </c>
      <c r="E61" s="35">
        <v>3.0</v>
      </c>
      <c r="F61" s="35">
        <v>5.0</v>
      </c>
      <c r="G61" s="35">
        <v>7.0</v>
      </c>
      <c r="H61" s="36">
        <v>1.0</v>
      </c>
      <c r="I61" s="36">
        <v>3.0</v>
      </c>
      <c r="J61" s="36">
        <v>5.0</v>
      </c>
      <c r="K61" s="35">
        <v>3.0</v>
      </c>
      <c r="L61" s="35">
        <v>5.0</v>
      </c>
      <c r="M61" s="35">
        <v>7.0</v>
      </c>
    </row>
    <row r="62" ht="14.25" customHeight="1">
      <c r="A62" s="3" t="s">
        <v>3</v>
      </c>
      <c r="B62" s="37">
        <f t="shared" ref="B62:B65" si="37">MIN(B24,B38,B52)</f>
        <v>3</v>
      </c>
      <c r="C62" s="37">
        <f t="shared" ref="C62:C65" si="38">AVERAGE(C24,C38,C52)</f>
        <v>5.666666667</v>
      </c>
      <c r="D62" s="37">
        <f t="shared" ref="D62:D65" si="39">MAX(D24,D38,D52)</f>
        <v>9</v>
      </c>
      <c r="E62" s="37">
        <f t="shared" ref="E62:E65" si="40">MIN(E24,E38,E52)</f>
        <v>3</v>
      </c>
      <c r="F62" s="37">
        <f t="shared" ref="F62:F65" si="41">AVERAGE(F24,F38,F52)</f>
        <v>5</v>
      </c>
      <c r="G62" s="37">
        <f t="shared" ref="G62:G65" si="42">MAX(G24,G38,G52)</f>
        <v>7</v>
      </c>
      <c r="H62" s="37">
        <f t="shared" ref="H62:H65" si="43">MIN(H24,H38,H52)</f>
        <v>1</v>
      </c>
      <c r="I62" s="37">
        <f t="shared" ref="I62:I65" si="44">AVERAGE(I24,I38,I52)</f>
        <v>3</v>
      </c>
      <c r="J62" s="38">
        <f t="shared" ref="J62:J65" si="45">MAX(J24,J38,J52)</f>
        <v>5</v>
      </c>
      <c r="K62" s="37">
        <f t="shared" ref="K62:K65" si="46">MIN(K24,K38,K52)</f>
        <v>1</v>
      </c>
      <c r="L62" s="37">
        <f t="shared" ref="L62:L65" si="47">AVERAGE(L24,L38,L52)</f>
        <v>3.666666667</v>
      </c>
      <c r="M62" s="38">
        <f t="shared" ref="M62:M65" si="48">MAX(M24,M38,M52)</f>
        <v>7</v>
      </c>
    </row>
    <row r="63" ht="14.25" customHeight="1">
      <c r="A63" s="3" t="s">
        <v>5</v>
      </c>
      <c r="B63" s="37">
        <f t="shared" si="37"/>
        <v>3</v>
      </c>
      <c r="C63" s="37">
        <f t="shared" si="38"/>
        <v>6.333333333</v>
      </c>
      <c r="D63" s="37">
        <f t="shared" si="39"/>
        <v>9</v>
      </c>
      <c r="E63" s="37">
        <f t="shared" si="40"/>
        <v>3</v>
      </c>
      <c r="F63" s="37">
        <f t="shared" si="41"/>
        <v>6.333333333</v>
      </c>
      <c r="G63" s="37">
        <f t="shared" si="42"/>
        <v>9</v>
      </c>
      <c r="H63" s="37">
        <f t="shared" si="43"/>
        <v>3</v>
      </c>
      <c r="I63" s="37">
        <f t="shared" si="44"/>
        <v>6.333333333</v>
      </c>
      <c r="J63" s="38">
        <f t="shared" si="45"/>
        <v>9</v>
      </c>
      <c r="K63" s="37">
        <f t="shared" si="46"/>
        <v>3</v>
      </c>
      <c r="L63" s="37">
        <f t="shared" si="47"/>
        <v>6.333333333</v>
      </c>
      <c r="M63" s="38">
        <f t="shared" si="48"/>
        <v>9</v>
      </c>
    </row>
    <row r="64" ht="14.25" customHeight="1">
      <c r="A64" s="3" t="s">
        <v>7</v>
      </c>
      <c r="B64" s="37">
        <f t="shared" si="37"/>
        <v>1</v>
      </c>
      <c r="C64" s="37">
        <f t="shared" si="38"/>
        <v>3.666666667</v>
      </c>
      <c r="D64" s="37">
        <f t="shared" si="39"/>
        <v>7</v>
      </c>
      <c r="E64" s="37">
        <f t="shared" si="40"/>
        <v>5</v>
      </c>
      <c r="F64" s="37">
        <f t="shared" si="41"/>
        <v>7</v>
      </c>
      <c r="G64" s="37">
        <f t="shared" si="42"/>
        <v>9</v>
      </c>
      <c r="H64" s="37">
        <f t="shared" si="43"/>
        <v>3</v>
      </c>
      <c r="I64" s="37">
        <f t="shared" si="44"/>
        <v>6.333333333</v>
      </c>
      <c r="J64" s="38">
        <f t="shared" si="45"/>
        <v>9</v>
      </c>
      <c r="K64" s="37">
        <f t="shared" si="46"/>
        <v>3</v>
      </c>
      <c r="L64" s="37">
        <f t="shared" si="47"/>
        <v>5</v>
      </c>
      <c r="M64" s="38">
        <f t="shared" si="48"/>
        <v>7</v>
      </c>
    </row>
    <row r="65" ht="14.25" customHeight="1">
      <c r="A65" s="21" t="s">
        <v>9</v>
      </c>
      <c r="B65" s="39">
        <f t="shared" si="37"/>
        <v>1</v>
      </c>
      <c r="C65" s="39">
        <f t="shared" si="38"/>
        <v>3</v>
      </c>
      <c r="D65" s="39">
        <f t="shared" si="39"/>
        <v>5</v>
      </c>
      <c r="E65" s="37">
        <f t="shared" si="40"/>
        <v>3</v>
      </c>
      <c r="F65" s="37">
        <f t="shared" si="41"/>
        <v>5</v>
      </c>
      <c r="G65" s="37">
        <f t="shared" si="42"/>
        <v>7</v>
      </c>
      <c r="H65" s="39">
        <f t="shared" si="43"/>
        <v>1</v>
      </c>
      <c r="I65" s="39">
        <f t="shared" si="44"/>
        <v>5</v>
      </c>
      <c r="J65" s="40">
        <f t="shared" si="45"/>
        <v>9</v>
      </c>
      <c r="K65" s="39">
        <f t="shared" si="46"/>
        <v>1</v>
      </c>
      <c r="L65" s="39">
        <f t="shared" si="47"/>
        <v>3</v>
      </c>
      <c r="M65" s="40">
        <f t="shared" si="48"/>
        <v>5</v>
      </c>
    </row>
    <row r="66" ht="14.2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</row>
    <row r="67" ht="14.25" customHeight="1"/>
    <row r="68" ht="14.25" customHeight="1">
      <c r="B68" s="33" t="s">
        <v>25</v>
      </c>
    </row>
    <row r="69" ht="14.25" customHeight="1">
      <c r="B69" s="10" t="s">
        <v>12</v>
      </c>
      <c r="C69" s="15"/>
      <c r="D69" s="15"/>
      <c r="E69" s="10" t="s">
        <v>14</v>
      </c>
      <c r="F69" s="15"/>
      <c r="G69" s="16"/>
      <c r="H69" s="10" t="s">
        <v>16</v>
      </c>
      <c r="I69" s="15"/>
      <c r="J69" s="15"/>
      <c r="K69" s="10" t="s">
        <v>17</v>
      </c>
      <c r="L69" s="15"/>
      <c r="M69" s="16"/>
    </row>
    <row r="70" ht="14.25" customHeight="1">
      <c r="A70" s="34" t="s">
        <v>24</v>
      </c>
      <c r="B70" s="35">
        <v>5.0</v>
      </c>
      <c r="C70" s="35">
        <v>7.0</v>
      </c>
      <c r="D70" s="35">
        <v>9.0</v>
      </c>
      <c r="E70" s="35">
        <v>3.0</v>
      </c>
      <c r="F70" s="35">
        <v>5.0</v>
      </c>
      <c r="G70" s="35">
        <v>7.0</v>
      </c>
      <c r="H70" s="36">
        <v>1.0</v>
      </c>
      <c r="I70" s="36">
        <v>3.0</v>
      </c>
      <c r="J70" s="36">
        <v>5.0</v>
      </c>
      <c r="K70" s="35">
        <v>3.0</v>
      </c>
      <c r="L70" s="35">
        <v>5.0</v>
      </c>
      <c r="M70" s="35">
        <v>7.0</v>
      </c>
    </row>
    <row r="71" ht="14.25" customHeight="1">
      <c r="A71" s="3" t="s">
        <v>3</v>
      </c>
      <c r="B71" s="37">
        <f t="shared" ref="B71:D71" si="49">B62/MAX($D$62:$D$66)</f>
        <v>0.3333333333</v>
      </c>
      <c r="C71" s="37">
        <f t="shared" si="49"/>
        <v>0.6296296296</v>
      </c>
      <c r="D71" s="37">
        <f t="shared" si="49"/>
        <v>1</v>
      </c>
      <c r="E71" s="37">
        <f t="shared" ref="E71:G71" si="50">E62/MAX($G$62:$G$66)</f>
        <v>0.3333333333</v>
      </c>
      <c r="F71" s="37">
        <f t="shared" si="50"/>
        <v>0.5555555556</v>
      </c>
      <c r="G71" s="37">
        <f t="shared" si="50"/>
        <v>0.7777777778</v>
      </c>
      <c r="H71" s="37">
        <f t="shared" ref="H71:J71" si="51">H62/MAX($J$62:$J$66)</f>
        <v>0.1111111111</v>
      </c>
      <c r="I71" s="37">
        <f t="shared" si="51"/>
        <v>0.3333333333</v>
      </c>
      <c r="J71" s="38">
        <f t="shared" si="51"/>
        <v>0.5555555556</v>
      </c>
      <c r="K71" s="37">
        <f t="shared" ref="K71:M71" si="52">K62/MAX($M$62:$M$66)</f>
        <v>0.1111111111</v>
      </c>
      <c r="L71" s="37">
        <f t="shared" si="52"/>
        <v>0.4074074074</v>
      </c>
      <c r="M71" s="38">
        <f t="shared" si="52"/>
        <v>0.7777777778</v>
      </c>
    </row>
    <row r="72" ht="14.25" customHeight="1">
      <c r="A72" s="3" t="s">
        <v>5</v>
      </c>
      <c r="B72" s="37">
        <f t="shared" ref="B72:D72" si="53">B63/MAX($D$62:$D$66)</f>
        <v>0.3333333333</v>
      </c>
      <c r="C72" s="37">
        <f t="shared" si="53"/>
        <v>0.7037037037</v>
      </c>
      <c r="D72" s="37">
        <f t="shared" si="53"/>
        <v>1</v>
      </c>
      <c r="E72" s="37">
        <f t="shared" ref="E72:G72" si="54">E63/MAX($G$62:$G$66)</f>
        <v>0.3333333333</v>
      </c>
      <c r="F72" s="37">
        <f t="shared" si="54"/>
        <v>0.7037037037</v>
      </c>
      <c r="G72" s="37">
        <f t="shared" si="54"/>
        <v>1</v>
      </c>
      <c r="H72" s="37">
        <f t="shared" ref="H72:J72" si="55">H63/MAX($J$62:$J$66)</f>
        <v>0.3333333333</v>
      </c>
      <c r="I72" s="37">
        <f t="shared" si="55"/>
        <v>0.7037037037</v>
      </c>
      <c r="J72" s="38">
        <f t="shared" si="55"/>
        <v>1</v>
      </c>
      <c r="K72" s="37">
        <f t="shared" ref="K72:M72" si="56">K63/MAX($M$62:$M$66)</f>
        <v>0.3333333333</v>
      </c>
      <c r="L72" s="37">
        <f t="shared" si="56"/>
        <v>0.7037037037</v>
      </c>
      <c r="M72" s="38">
        <f t="shared" si="56"/>
        <v>1</v>
      </c>
    </row>
    <row r="73" ht="14.25" customHeight="1">
      <c r="A73" s="3" t="s">
        <v>7</v>
      </c>
      <c r="B73" s="37">
        <f t="shared" ref="B73:D73" si="57">B64/MAX($D$62:$D$66)</f>
        <v>0.1111111111</v>
      </c>
      <c r="C73" s="37">
        <f t="shared" si="57"/>
        <v>0.4074074074</v>
      </c>
      <c r="D73" s="37">
        <f t="shared" si="57"/>
        <v>0.7777777778</v>
      </c>
      <c r="E73" s="37">
        <f t="shared" ref="E73:G73" si="58">E64/MAX($G$62:$G$66)</f>
        <v>0.5555555556</v>
      </c>
      <c r="F73" s="37">
        <f t="shared" si="58"/>
        <v>0.7777777778</v>
      </c>
      <c r="G73" s="37">
        <f t="shared" si="58"/>
        <v>1</v>
      </c>
      <c r="H73" s="37">
        <f t="shared" ref="H73:J73" si="59">H64/MAX($J$62:$J$66)</f>
        <v>0.3333333333</v>
      </c>
      <c r="I73" s="37">
        <f t="shared" si="59"/>
        <v>0.7037037037</v>
      </c>
      <c r="J73" s="38">
        <f t="shared" si="59"/>
        <v>1</v>
      </c>
      <c r="K73" s="37">
        <f t="shared" ref="K73:M73" si="60">K64/MAX($M$62:$M$66)</f>
        <v>0.3333333333</v>
      </c>
      <c r="L73" s="37">
        <f t="shared" si="60"/>
        <v>0.5555555556</v>
      </c>
      <c r="M73" s="38">
        <f t="shared" si="60"/>
        <v>0.7777777778</v>
      </c>
    </row>
    <row r="74" ht="14.25" customHeight="1">
      <c r="A74" s="21" t="s">
        <v>9</v>
      </c>
      <c r="B74" s="39">
        <f t="shared" ref="B74:D74" si="61">B65/MAX($D$62:$D$66)</f>
        <v>0.1111111111</v>
      </c>
      <c r="C74" s="39">
        <f t="shared" si="61"/>
        <v>0.3333333333</v>
      </c>
      <c r="D74" s="39">
        <f t="shared" si="61"/>
        <v>0.5555555556</v>
      </c>
      <c r="E74" s="37">
        <f t="shared" ref="E74:G74" si="62">E65/MAX($G$62:$G$66)</f>
        <v>0.3333333333</v>
      </c>
      <c r="F74" s="37">
        <f t="shared" si="62"/>
        <v>0.5555555556</v>
      </c>
      <c r="G74" s="37">
        <f t="shared" si="62"/>
        <v>0.7777777778</v>
      </c>
      <c r="H74" s="39">
        <f t="shared" ref="H74:J74" si="63">H65/MAX($J$62:$J$66)</f>
        <v>0.1111111111</v>
      </c>
      <c r="I74" s="39">
        <f t="shared" si="63"/>
        <v>0.5555555556</v>
      </c>
      <c r="J74" s="40">
        <f t="shared" si="63"/>
        <v>1</v>
      </c>
      <c r="K74" s="39">
        <f t="shared" ref="K74:M74" si="64">K65/MAX($M$62:$M$66)</f>
        <v>0.1111111111</v>
      </c>
      <c r="L74" s="39">
        <f t="shared" si="64"/>
        <v>0.3333333333</v>
      </c>
      <c r="M74" s="40">
        <f t="shared" si="64"/>
        <v>0.5555555556</v>
      </c>
    </row>
    <row r="75" ht="14.25" customHeight="1">
      <c r="A75" s="25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</row>
    <row r="76" ht="14.25" customHeight="1"/>
    <row r="77" ht="14.25" customHeight="1">
      <c r="A77" s="32" t="s">
        <v>26</v>
      </c>
    </row>
    <row r="78" ht="14.25" customHeight="1">
      <c r="B78" s="33" t="s">
        <v>27</v>
      </c>
    </row>
    <row r="79" ht="14.25" customHeight="1">
      <c r="B79" s="10" t="s">
        <v>12</v>
      </c>
      <c r="C79" s="15"/>
      <c r="D79" s="15"/>
      <c r="E79" s="10" t="s">
        <v>14</v>
      </c>
      <c r="F79" s="15"/>
      <c r="G79" s="16"/>
      <c r="H79" s="10" t="s">
        <v>16</v>
      </c>
      <c r="I79" s="15"/>
      <c r="J79" s="15"/>
      <c r="K79" s="10" t="s">
        <v>17</v>
      </c>
      <c r="L79" s="15"/>
      <c r="M79" s="16"/>
    </row>
    <row r="80" ht="14.25" customHeight="1">
      <c r="A80" s="34" t="s">
        <v>24</v>
      </c>
      <c r="B80" s="35">
        <v>5.0</v>
      </c>
      <c r="C80" s="35">
        <v>7.0</v>
      </c>
      <c r="D80" s="35">
        <v>9.0</v>
      </c>
      <c r="E80" s="35">
        <v>3.0</v>
      </c>
      <c r="F80" s="35">
        <v>5.0</v>
      </c>
      <c r="G80" s="35">
        <v>7.0</v>
      </c>
      <c r="H80" s="36">
        <v>1.0</v>
      </c>
      <c r="I80" s="36">
        <v>3.0</v>
      </c>
      <c r="J80" s="36">
        <v>5.0</v>
      </c>
      <c r="K80" s="35">
        <v>3.0</v>
      </c>
      <c r="L80" s="35">
        <v>5.0</v>
      </c>
      <c r="M80" s="35">
        <v>7.0</v>
      </c>
    </row>
    <row r="81" ht="14.25" customHeight="1">
      <c r="A81" s="3" t="s">
        <v>3</v>
      </c>
      <c r="B81" s="37">
        <f t="shared" ref="B81:M81" si="65">B71*B$70</f>
        <v>1.666666667</v>
      </c>
      <c r="C81" s="37">
        <f t="shared" si="65"/>
        <v>4.407407407</v>
      </c>
      <c r="D81" s="37">
        <f t="shared" si="65"/>
        <v>9</v>
      </c>
      <c r="E81" s="37">
        <f t="shared" si="65"/>
        <v>1</v>
      </c>
      <c r="F81" s="37">
        <f t="shared" si="65"/>
        <v>2.777777778</v>
      </c>
      <c r="G81" s="37">
        <f t="shared" si="65"/>
        <v>5.444444444</v>
      </c>
      <c r="H81" s="37">
        <f t="shared" si="65"/>
        <v>0.1111111111</v>
      </c>
      <c r="I81" s="37">
        <f t="shared" si="65"/>
        <v>1</v>
      </c>
      <c r="J81" s="37">
        <f t="shared" si="65"/>
        <v>2.777777778</v>
      </c>
      <c r="K81" s="37">
        <f t="shared" si="65"/>
        <v>0.3333333333</v>
      </c>
      <c r="L81" s="37">
        <f t="shared" si="65"/>
        <v>2.037037037</v>
      </c>
      <c r="M81" s="37">
        <f t="shared" si="65"/>
        <v>5.444444444</v>
      </c>
    </row>
    <row r="82" ht="14.25" customHeight="1">
      <c r="A82" s="3" t="s">
        <v>5</v>
      </c>
      <c r="B82" s="37">
        <f t="shared" ref="B82:M82" si="66">B72*B$70</f>
        <v>1.666666667</v>
      </c>
      <c r="C82" s="37">
        <f t="shared" si="66"/>
        <v>4.925925926</v>
      </c>
      <c r="D82" s="37">
        <f t="shared" si="66"/>
        <v>9</v>
      </c>
      <c r="E82" s="37">
        <f t="shared" si="66"/>
        <v>1</v>
      </c>
      <c r="F82" s="37">
        <f t="shared" si="66"/>
        <v>3.518518519</v>
      </c>
      <c r="G82" s="37">
        <f t="shared" si="66"/>
        <v>7</v>
      </c>
      <c r="H82" s="37">
        <f t="shared" si="66"/>
        <v>0.3333333333</v>
      </c>
      <c r="I82" s="37">
        <f t="shared" si="66"/>
        <v>2.111111111</v>
      </c>
      <c r="J82" s="37">
        <f t="shared" si="66"/>
        <v>5</v>
      </c>
      <c r="K82" s="37">
        <f t="shared" si="66"/>
        <v>1</v>
      </c>
      <c r="L82" s="37">
        <f t="shared" si="66"/>
        <v>3.518518519</v>
      </c>
      <c r="M82" s="37">
        <f t="shared" si="66"/>
        <v>7</v>
      </c>
    </row>
    <row r="83" ht="14.25" customHeight="1">
      <c r="A83" s="3" t="s">
        <v>7</v>
      </c>
      <c r="B83" s="37">
        <f t="shared" ref="B83:M83" si="67">B73*B$70</f>
        <v>0.5555555556</v>
      </c>
      <c r="C83" s="37">
        <f t="shared" si="67"/>
        <v>2.851851852</v>
      </c>
      <c r="D83" s="37">
        <f t="shared" si="67"/>
        <v>7</v>
      </c>
      <c r="E83" s="37">
        <f t="shared" si="67"/>
        <v>1.666666667</v>
      </c>
      <c r="F83" s="37">
        <f t="shared" si="67"/>
        <v>3.888888889</v>
      </c>
      <c r="G83" s="37">
        <f t="shared" si="67"/>
        <v>7</v>
      </c>
      <c r="H83" s="37">
        <f t="shared" si="67"/>
        <v>0.3333333333</v>
      </c>
      <c r="I83" s="37">
        <f t="shared" si="67"/>
        <v>2.111111111</v>
      </c>
      <c r="J83" s="37">
        <f t="shared" si="67"/>
        <v>5</v>
      </c>
      <c r="K83" s="37">
        <f t="shared" si="67"/>
        <v>1</v>
      </c>
      <c r="L83" s="37">
        <f t="shared" si="67"/>
        <v>2.777777778</v>
      </c>
      <c r="M83" s="37">
        <f t="shared" si="67"/>
        <v>5.444444444</v>
      </c>
    </row>
    <row r="84" ht="14.25" customHeight="1">
      <c r="A84" s="3" t="s">
        <v>9</v>
      </c>
      <c r="B84" s="37">
        <f t="shared" ref="B84:M84" si="68">B74*B$70</f>
        <v>0.5555555556</v>
      </c>
      <c r="C84" s="37">
        <f t="shared" si="68"/>
        <v>2.333333333</v>
      </c>
      <c r="D84" s="37">
        <f t="shared" si="68"/>
        <v>5</v>
      </c>
      <c r="E84" s="37">
        <f t="shared" si="68"/>
        <v>1</v>
      </c>
      <c r="F84" s="37">
        <f t="shared" si="68"/>
        <v>2.777777778</v>
      </c>
      <c r="G84" s="37">
        <f t="shared" si="68"/>
        <v>5.444444444</v>
      </c>
      <c r="H84" s="37">
        <f t="shared" si="68"/>
        <v>0.1111111111</v>
      </c>
      <c r="I84" s="37">
        <f t="shared" si="68"/>
        <v>1.666666667</v>
      </c>
      <c r="J84" s="37">
        <f t="shared" si="68"/>
        <v>5</v>
      </c>
      <c r="K84" s="37">
        <f t="shared" si="68"/>
        <v>0.3333333333</v>
      </c>
      <c r="L84" s="37">
        <f t="shared" si="68"/>
        <v>1.666666667</v>
      </c>
      <c r="M84" s="37">
        <f t="shared" si="68"/>
        <v>3.888888889</v>
      </c>
    </row>
    <row r="85" ht="14.25" customHeight="1">
      <c r="A85" s="43" t="s">
        <v>28</v>
      </c>
      <c r="B85" s="44">
        <f t="shared" ref="B85:M85" si="69">MAX(B81:B84)</f>
        <v>1.666666667</v>
      </c>
      <c r="C85" s="44">
        <f t="shared" si="69"/>
        <v>4.925925926</v>
      </c>
      <c r="D85" s="44">
        <f t="shared" si="69"/>
        <v>9</v>
      </c>
      <c r="E85" s="44">
        <f t="shared" si="69"/>
        <v>1.666666667</v>
      </c>
      <c r="F85" s="44">
        <f t="shared" si="69"/>
        <v>3.888888889</v>
      </c>
      <c r="G85" s="44">
        <f t="shared" si="69"/>
        <v>7</v>
      </c>
      <c r="H85" s="44">
        <f t="shared" si="69"/>
        <v>0.3333333333</v>
      </c>
      <c r="I85" s="44">
        <f t="shared" si="69"/>
        <v>2.111111111</v>
      </c>
      <c r="J85" s="44">
        <f t="shared" si="69"/>
        <v>5</v>
      </c>
      <c r="K85" s="44">
        <f t="shared" si="69"/>
        <v>1</v>
      </c>
      <c r="L85" s="44">
        <f t="shared" si="69"/>
        <v>3.518518519</v>
      </c>
      <c r="M85" s="44">
        <f t="shared" si="69"/>
        <v>7</v>
      </c>
      <c r="N85" s="8" t="s">
        <v>29</v>
      </c>
    </row>
    <row r="86" ht="14.25" customHeight="1">
      <c r="A86" s="43" t="s">
        <v>30</v>
      </c>
      <c r="B86" s="44">
        <f t="shared" ref="B86:M86" si="70">MIN(B81:B84)</f>
        <v>0.5555555556</v>
      </c>
      <c r="C86" s="44">
        <f t="shared" si="70"/>
        <v>2.333333333</v>
      </c>
      <c r="D86" s="44">
        <f t="shared" si="70"/>
        <v>5</v>
      </c>
      <c r="E86" s="44">
        <f t="shared" si="70"/>
        <v>1</v>
      </c>
      <c r="F86" s="44">
        <f t="shared" si="70"/>
        <v>2.777777778</v>
      </c>
      <c r="G86" s="44">
        <f t="shared" si="70"/>
        <v>5.444444444</v>
      </c>
      <c r="H86" s="44">
        <f t="shared" si="70"/>
        <v>0.1111111111</v>
      </c>
      <c r="I86" s="44">
        <f t="shared" si="70"/>
        <v>1</v>
      </c>
      <c r="J86" s="44">
        <f t="shared" si="70"/>
        <v>2.777777778</v>
      </c>
      <c r="K86" s="44">
        <f t="shared" si="70"/>
        <v>0.3333333333</v>
      </c>
      <c r="L86" s="44">
        <f t="shared" si="70"/>
        <v>1.666666667</v>
      </c>
      <c r="M86" s="44">
        <f t="shared" si="70"/>
        <v>3.888888889</v>
      </c>
      <c r="N86" s="8" t="s">
        <v>31</v>
      </c>
    </row>
    <row r="87" ht="14.25" customHeight="1"/>
    <row r="88" ht="14.25" customHeight="1"/>
    <row r="89" ht="14.25" customHeight="1">
      <c r="A89" s="45" t="s">
        <v>32</v>
      </c>
    </row>
    <row r="90" ht="14.25" customHeight="1">
      <c r="B90" s="46" t="s">
        <v>33</v>
      </c>
      <c r="C90" s="47"/>
      <c r="D90" s="47"/>
      <c r="E90" s="48"/>
    </row>
    <row r="91" ht="14.25" customHeight="1">
      <c r="B91" s="10" t="s">
        <v>12</v>
      </c>
      <c r="C91" s="15"/>
      <c r="D91" s="15"/>
      <c r="E91" s="10" t="s">
        <v>14</v>
      </c>
      <c r="F91" s="15"/>
      <c r="G91" s="16"/>
      <c r="H91" s="10" t="s">
        <v>16</v>
      </c>
      <c r="I91" s="15"/>
      <c r="J91" s="15"/>
      <c r="K91" s="10" t="s">
        <v>17</v>
      </c>
      <c r="L91" s="15"/>
      <c r="M91" s="16"/>
      <c r="N91" s="49" t="s">
        <v>34</v>
      </c>
    </row>
    <row r="92" ht="14.25" customHeight="1">
      <c r="A92" s="3" t="s">
        <v>3</v>
      </c>
      <c r="B92" s="50">
        <f t="shared" ref="B92:B95" si="71">SQRT((1/3)*(((B81-B$85)^2)+((C81-C$85)^2)+((D81-D$85)^2)))</f>
        <v>0.2993668062</v>
      </c>
      <c r="C92" s="15"/>
      <c r="D92" s="16"/>
      <c r="E92" s="50">
        <f t="shared" ref="E92:E95" si="72">SQRT((1/3)*(((E81-E$85)^2)+((F81-F$85)^2)+((G81-G$85)^2)))</f>
        <v>1.168869173</v>
      </c>
      <c r="F92" s="15"/>
      <c r="G92" s="16"/>
      <c r="H92" s="50">
        <f t="shared" ref="H92:H95" si="73">SQRT((1/3)*(((H81-H$85)^2)+((I81-I$85)^2)+((J81-J$85)^2)))</f>
        <v>1.4401646</v>
      </c>
      <c r="I92" s="15"/>
      <c r="J92" s="16"/>
      <c r="K92" s="50">
        <f t="shared" ref="K92:K95" si="74">SQRT((1/3)*(((K81-K$85)^2)+((L81-L$85)^2)+((M81-M$85)^2)))</f>
        <v>1.298587041</v>
      </c>
      <c r="L92" s="15"/>
      <c r="M92" s="16"/>
      <c r="N92" s="51">
        <f t="shared" ref="N92:N95" si="75">SUM(B92:M92)</f>
        <v>4.20698762</v>
      </c>
    </row>
    <row r="93" ht="14.25" customHeight="1">
      <c r="A93" s="3" t="s">
        <v>5</v>
      </c>
      <c r="B93" s="50">
        <f t="shared" si="71"/>
        <v>0</v>
      </c>
      <c r="C93" s="15"/>
      <c r="D93" s="16"/>
      <c r="E93" s="50">
        <f t="shared" si="72"/>
        <v>0.4403099877</v>
      </c>
      <c r="F93" s="15"/>
      <c r="G93" s="16"/>
      <c r="H93" s="50">
        <f t="shared" si="73"/>
        <v>0</v>
      </c>
      <c r="I93" s="15"/>
      <c r="J93" s="16"/>
      <c r="K93" s="50">
        <f t="shared" si="74"/>
        <v>0</v>
      </c>
      <c r="L93" s="15"/>
      <c r="M93" s="16"/>
      <c r="N93" s="52">
        <f t="shared" si="75"/>
        <v>0.4403099877</v>
      </c>
    </row>
    <row r="94" ht="14.25" customHeight="1">
      <c r="A94" s="3" t="s">
        <v>7</v>
      </c>
      <c r="B94" s="50">
        <f t="shared" si="71"/>
        <v>1.78291439</v>
      </c>
      <c r="C94" s="15"/>
      <c r="D94" s="16"/>
      <c r="E94" s="50">
        <f t="shared" si="72"/>
        <v>0</v>
      </c>
      <c r="F94" s="15"/>
      <c r="G94" s="16"/>
      <c r="H94" s="50">
        <f t="shared" si="73"/>
        <v>0</v>
      </c>
      <c r="I94" s="15"/>
      <c r="J94" s="16"/>
      <c r="K94" s="50">
        <f t="shared" si="74"/>
        <v>0.994727757</v>
      </c>
      <c r="L94" s="15"/>
      <c r="M94" s="16"/>
      <c r="N94" s="52">
        <f t="shared" si="75"/>
        <v>2.777642147</v>
      </c>
    </row>
    <row r="95" ht="14.25" customHeight="1">
      <c r="A95" s="3" t="s">
        <v>9</v>
      </c>
      <c r="B95" s="50">
        <f t="shared" si="71"/>
        <v>2.825839359</v>
      </c>
      <c r="C95" s="15"/>
      <c r="D95" s="16"/>
      <c r="E95" s="50">
        <f t="shared" si="72"/>
        <v>1.168869173</v>
      </c>
      <c r="F95" s="15"/>
      <c r="G95" s="16"/>
      <c r="H95" s="50">
        <f t="shared" si="73"/>
        <v>0.2868876553</v>
      </c>
      <c r="I95" s="15"/>
      <c r="J95" s="16"/>
      <c r="K95" s="50">
        <f t="shared" si="74"/>
        <v>2.125465602</v>
      </c>
      <c r="L95" s="15"/>
      <c r="M95" s="16"/>
      <c r="N95" s="53">
        <f t="shared" si="75"/>
        <v>6.407061789</v>
      </c>
    </row>
    <row r="96" ht="14.25" customHeight="1"/>
    <row r="97" ht="14.25" customHeight="1"/>
    <row r="98" ht="14.25" customHeight="1">
      <c r="B98" s="46" t="s">
        <v>35</v>
      </c>
      <c r="C98" s="47"/>
      <c r="D98" s="47"/>
      <c r="E98" s="48"/>
    </row>
    <row r="99" ht="14.25" customHeight="1">
      <c r="B99" s="10" t="s">
        <v>12</v>
      </c>
      <c r="C99" s="15"/>
      <c r="D99" s="15"/>
      <c r="E99" s="10" t="s">
        <v>14</v>
      </c>
      <c r="F99" s="15"/>
      <c r="G99" s="16"/>
      <c r="H99" s="10" t="s">
        <v>16</v>
      </c>
      <c r="I99" s="15"/>
      <c r="J99" s="15"/>
      <c r="K99" s="10" t="s">
        <v>17</v>
      </c>
      <c r="L99" s="15"/>
      <c r="M99" s="16"/>
      <c r="N99" s="54" t="s">
        <v>36</v>
      </c>
    </row>
    <row r="100" ht="14.25" customHeight="1">
      <c r="A100" s="3" t="s">
        <v>3</v>
      </c>
      <c r="B100" s="50">
        <f t="shared" ref="B100:B103" si="76">SQRT((1/3)*(((B81-B$86)^2)+((C81-C$86)^2)+((D81-D$86)^2)))</f>
        <v>2.679325236</v>
      </c>
      <c r="C100" s="15"/>
      <c r="D100" s="16"/>
      <c r="E100" s="50">
        <f t="shared" ref="E100:E103" si="77">SQRT((1/3)*(((E81-E$86)^2)+((F81-F$86)^2)+((G81-G$86)^2)))</f>
        <v>0</v>
      </c>
      <c r="F100" s="15"/>
      <c r="G100" s="16"/>
      <c r="H100" s="50">
        <f t="shared" ref="H100:H103" si="78">SQRT((1/3)*(((H81-H$86)^2)+((I81-I$86)^2)+((J81-J$86)^2)))</f>
        <v>0</v>
      </c>
      <c r="I100" s="15"/>
      <c r="J100" s="16"/>
      <c r="K100" s="50">
        <f t="shared" ref="K100:K103" si="79">SQRT((1/3)*(((K81-K$86)^2)+((L81-L$86)^2)+((M81-M$86)^2)))</f>
        <v>0.9232058813</v>
      </c>
      <c r="L100" s="15"/>
      <c r="M100" s="16"/>
      <c r="N100" s="55">
        <f t="shared" ref="N100:N103" si="80">SUM(B100:M100)</f>
        <v>3.602531118</v>
      </c>
    </row>
    <row r="101" ht="14.25" customHeight="1">
      <c r="A101" s="3" t="s">
        <v>5</v>
      </c>
      <c r="B101" s="50">
        <f t="shared" si="76"/>
        <v>2.825839359</v>
      </c>
      <c r="C101" s="15"/>
      <c r="D101" s="16"/>
      <c r="E101" s="50">
        <f t="shared" si="77"/>
        <v>0.994727757</v>
      </c>
      <c r="F101" s="15"/>
      <c r="G101" s="16"/>
      <c r="H101" s="50">
        <f t="shared" si="78"/>
        <v>1.4401646</v>
      </c>
      <c r="I101" s="15"/>
      <c r="J101" s="16"/>
      <c r="K101" s="50">
        <f t="shared" si="79"/>
        <v>2.125465602</v>
      </c>
      <c r="L101" s="15"/>
      <c r="M101" s="16"/>
      <c r="N101" s="56">
        <f t="shared" si="80"/>
        <v>7.386197317</v>
      </c>
    </row>
    <row r="102" ht="14.25" customHeight="1">
      <c r="A102" s="3" t="s">
        <v>7</v>
      </c>
      <c r="B102" s="50">
        <f t="shared" si="76"/>
        <v>1.192876279</v>
      </c>
      <c r="C102" s="15"/>
      <c r="D102" s="16"/>
      <c r="E102" s="50">
        <f t="shared" si="77"/>
        <v>1.168869173</v>
      </c>
      <c r="F102" s="15"/>
      <c r="G102" s="16"/>
      <c r="H102" s="50">
        <f t="shared" si="78"/>
        <v>1.4401646</v>
      </c>
      <c r="I102" s="15"/>
      <c r="J102" s="16"/>
      <c r="K102" s="50">
        <f t="shared" si="79"/>
        <v>1.168869173</v>
      </c>
      <c r="L102" s="15"/>
      <c r="M102" s="16"/>
      <c r="N102" s="56">
        <f t="shared" si="80"/>
        <v>4.970779225</v>
      </c>
    </row>
    <row r="103" ht="14.25" customHeight="1">
      <c r="A103" s="21" t="s">
        <v>9</v>
      </c>
      <c r="B103" s="50">
        <f t="shared" si="76"/>
        <v>0</v>
      </c>
      <c r="C103" s="15"/>
      <c r="D103" s="16"/>
      <c r="E103" s="50">
        <f t="shared" si="77"/>
        <v>0</v>
      </c>
      <c r="F103" s="15"/>
      <c r="G103" s="16"/>
      <c r="H103" s="50">
        <f t="shared" si="78"/>
        <v>1.33949195</v>
      </c>
      <c r="I103" s="15"/>
      <c r="J103" s="16"/>
      <c r="K103" s="50">
        <f t="shared" si="79"/>
        <v>0</v>
      </c>
      <c r="L103" s="15"/>
      <c r="M103" s="16"/>
      <c r="N103" s="56">
        <f t="shared" si="80"/>
        <v>1.33949195</v>
      </c>
    </row>
    <row r="104" ht="14.2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</row>
    <row r="105" ht="14.25" customHeight="1"/>
    <row r="106" ht="14.25" customHeight="1">
      <c r="A106" s="57" t="s">
        <v>37</v>
      </c>
      <c r="B106" s="48"/>
    </row>
    <row r="107" ht="14.25" customHeight="1">
      <c r="B107" s="5" t="s">
        <v>38</v>
      </c>
      <c r="C107" s="8" t="s">
        <v>39</v>
      </c>
    </row>
    <row r="108" ht="14.25" customHeight="1">
      <c r="A108" s="3" t="s">
        <v>3</v>
      </c>
      <c r="B108" s="58">
        <f t="shared" ref="B108:B111" si="81">N100/(N100+N92)</f>
        <v>0.4613000159</v>
      </c>
      <c r="C108" s="59">
        <f t="shared" ref="C108:C111" si="82">RANK(B108,$B$108:$B$111)</f>
        <v>3</v>
      </c>
    </row>
    <row r="109" ht="14.25" customHeight="1">
      <c r="A109" s="3" t="s">
        <v>5</v>
      </c>
      <c r="B109" s="58">
        <f t="shared" si="81"/>
        <v>0.94374119</v>
      </c>
      <c r="C109" s="59">
        <f t="shared" si="82"/>
        <v>1</v>
      </c>
    </row>
    <row r="110" ht="14.25" customHeight="1">
      <c r="A110" s="3" t="s">
        <v>7</v>
      </c>
      <c r="B110" s="58">
        <f t="shared" si="81"/>
        <v>0.6415215418</v>
      </c>
      <c r="C110" s="59">
        <f t="shared" si="82"/>
        <v>2</v>
      </c>
    </row>
    <row r="111" ht="14.25" customHeight="1">
      <c r="A111" s="3" t="s">
        <v>9</v>
      </c>
      <c r="B111" s="58">
        <f t="shared" si="81"/>
        <v>0.1729145624</v>
      </c>
      <c r="C111" s="59">
        <f t="shared" si="82"/>
        <v>4</v>
      </c>
    </row>
    <row r="112" ht="14.25" customHeight="1"/>
    <row r="113" ht="14.25" customHeight="1"/>
    <row r="114" ht="14.25" customHeight="1">
      <c r="A114" s="5"/>
    </row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7">
    <mergeCell ref="H69:J69"/>
    <mergeCell ref="K69:M69"/>
    <mergeCell ref="B79:D79"/>
    <mergeCell ref="E79:G79"/>
    <mergeCell ref="H79:J79"/>
    <mergeCell ref="K79:M79"/>
    <mergeCell ref="B90:E90"/>
    <mergeCell ref="B91:D91"/>
    <mergeCell ref="E91:G91"/>
    <mergeCell ref="H91:J91"/>
    <mergeCell ref="K91:M91"/>
    <mergeCell ref="E92:G92"/>
    <mergeCell ref="H92:J92"/>
    <mergeCell ref="K92:M92"/>
    <mergeCell ref="B17:D17"/>
    <mergeCell ref="E17:G17"/>
    <mergeCell ref="H17:J17"/>
    <mergeCell ref="K17:M17"/>
    <mergeCell ref="E18:G18"/>
    <mergeCell ref="H18:J18"/>
    <mergeCell ref="K18:M18"/>
    <mergeCell ref="H20:J20"/>
    <mergeCell ref="K20:M20"/>
    <mergeCell ref="B18:D18"/>
    <mergeCell ref="B19:D19"/>
    <mergeCell ref="E19:G19"/>
    <mergeCell ref="H19:J19"/>
    <mergeCell ref="K19:M19"/>
    <mergeCell ref="B20:D20"/>
    <mergeCell ref="E20:G20"/>
    <mergeCell ref="B21:D21"/>
    <mergeCell ref="E21:G21"/>
    <mergeCell ref="H21:J21"/>
    <mergeCell ref="K21:M21"/>
    <mergeCell ref="E22:G22"/>
    <mergeCell ref="H22:J22"/>
    <mergeCell ref="K22:M22"/>
    <mergeCell ref="H32:J32"/>
    <mergeCell ref="K32:M32"/>
    <mergeCell ref="B22:D22"/>
    <mergeCell ref="B31:D31"/>
    <mergeCell ref="E31:G31"/>
    <mergeCell ref="H31:J31"/>
    <mergeCell ref="K31:M31"/>
    <mergeCell ref="B32:D32"/>
    <mergeCell ref="E32:G32"/>
    <mergeCell ref="H103:J103"/>
    <mergeCell ref="K103:M103"/>
    <mergeCell ref="B33:D33"/>
    <mergeCell ref="E33:G33"/>
    <mergeCell ref="H33:J33"/>
    <mergeCell ref="K33:M33"/>
    <mergeCell ref="E34:G34"/>
    <mergeCell ref="H34:J34"/>
    <mergeCell ref="K34:M34"/>
    <mergeCell ref="B34:D34"/>
    <mergeCell ref="B35:D35"/>
    <mergeCell ref="E35:G35"/>
    <mergeCell ref="H35:J35"/>
    <mergeCell ref="K35:M35"/>
    <mergeCell ref="B36:D36"/>
    <mergeCell ref="E36:G36"/>
    <mergeCell ref="E46:G46"/>
    <mergeCell ref="H46:J46"/>
    <mergeCell ref="H36:J36"/>
    <mergeCell ref="K36:M36"/>
    <mergeCell ref="B45:D45"/>
    <mergeCell ref="E45:G45"/>
    <mergeCell ref="H45:J45"/>
    <mergeCell ref="K45:M45"/>
    <mergeCell ref="K46:M46"/>
    <mergeCell ref="H48:J48"/>
    <mergeCell ref="K48:M48"/>
    <mergeCell ref="B46:D46"/>
    <mergeCell ref="B47:D47"/>
    <mergeCell ref="E47:G47"/>
    <mergeCell ref="H47:J47"/>
    <mergeCell ref="K47:M47"/>
    <mergeCell ref="B48:D48"/>
    <mergeCell ref="E48:G48"/>
    <mergeCell ref="B49:D49"/>
    <mergeCell ref="E49:G49"/>
    <mergeCell ref="H49:J49"/>
    <mergeCell ref="K49:M49"/>
    <mergeCell ref="E50:G50"/>
    <mergeCell ref="H50:J50"/>
    <mergeCell ref="K50:M50"/>
    <mergeCell ref="B50:D50"/>
    <mergeCell ref="B60:D60"/>
    <mergeCell ref="E60:G60"/>
    <mergeCell ref="H60:J60"/>
    <mergeCell ref="K60:M60"/>
    <mergeCell ref="B69:D69"/>
    <mergeCell ref="E69:G69"/>
    <mergeCell ref="H94:J94"/>
    <mergeCell ref="K94:M94"/>
    <mergeCell ref="B92:D92"/>
    <mergeCell ref="B93:D93"/>
    <mergeCell ref="E93:G93"/>
    <mergeCell ref="H93:J93"/>
    <mergeCell ref="K93:M93"/>
    <mergeCell ref="B94:D94"/>
    <mergeCell ref="E94:G94"/>
    <mergeCell ref="H99:J99"/>
    <mergeCell ref="K99:M99"/>
    <mergeCell ref="B95:D95"/>
    <mergeCell ref="E95:G95"/>
    <mergeCell ref="H95:J95"/>
    <mergeCell ref="K95:M95"/>
    <mergeCell ref="B98:E98"/>
    <mergeCell ref="B99:D99"/>
    <mergeCell ref="E99:G99"/>
    <mergeCell ref="B100:D100"/>
    <mergeCell ref="E100:G100"/>
    <mergeCell ref="H100:J100"/>
    <mergeCell ref="K100:M100"/>
    <mergeCell ref="E101:G101"/>
    <mergeCell ref="H101:J101"/>
    <mergeCell ref="K101:M101"/>
    <mergeCell ref="B101:D101"/>
    <mergeCell ref="B102:D102"/>
    <mergeCell ref="E102:G102"/>
    <mergeCell ref="H102:J102"/>
    <mergeCell ref="K102:M102"/>
    <mergeCell ref="B103:D103"/>
    <mergeCell ref="E103:G103"/>
    <mergeCell ref="A106:B10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
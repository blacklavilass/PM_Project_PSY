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И" sheetId="1" r:id="rId5"/>
    <sheet state="visible" name="Концепции и критерии" sheetId="2" r:id="rId6"/>
  </sheets>
  <definedNames/>
  <calcPr/>
</workbook>
</file>

<file path=xl/sharedStrings.xml><?xml version="1.0" encoding="utf-8"?>
<sst xmlns="http://schemas.openxmlformats.org/spreadsheetml/2006/main" count="311" uniqueCount="51">
  <si>
    <t>Попов</t>
  </si>
  <si>
    <t>Стрельников</t>
  </si>
  <si>
    <t>Ячный</t>
  </si>
  <si>
    <t>Размеры матриц</t>
  </si>
  <si>
    <t>RI</t>
  </si>
  <si>
    <t>Конкурентоспособность</t>
  </si>
  <si>
    <t>Простота реализации</t>
  </si>
  <si>
    <t>Масштабируемость</t>
  </si>
  <si>
    <t>Потенциал монетизации</t>
  </si>
  <si>
    <t>ОБЩИЕ ТАБЛИЦЫ</t>
  </si>
  <si>
    <t>Вес в долях</t>
  </si>
  <si>
    <t>Вес в процентах</t>
  </si>
  <si>
    <t>Сумма</t>
  </si>
  <si>
    <t>ОЦЕНКИ ЭКСПЕРТОВ: КОНКУРЕНТНОСПОСОБНОСТЬ</t>
  </si>
  <si>
    <t>Конкурентноспособность</t>
  </si>
  <si>
    <t>Гарантия</t>
  </si>
  <si>
    <t>Карпулинг</t>
  </si>
  <si>
    <t>Инструменты</t>
  </si>
  <si>
    <t>Таск-трекер</t>
  </si>
  <si>
    <t>ОБЩИЕ ТАБЛИЦЫ: КОНКУРЕНТНОСПОСОБНОСТЬ</t>
  </si>
  <si>
    <t>p - Нормальзованные оценки вектора приоритета</t>
  </si>
  <si>
    <t>е</t>
  </si>
  <si>
    <t>р</t>
  </si>
  <si>
    <t>λmax</t>
  </si>
  <si>
    <t>Индекс согласованности</t>
  </si>
  <si>
    <t>Отношение согласованности</t>
  </si>
  <si>
    <t>Нормировка</t>
  </si>
  <si>
    <t>ОЦЕНКИ ЭКСПЕРТОВ: ПРОСТОТА РЕАЛИЗАЦИИ</t>
  </si>
  <si>
    <t>ОБЩИЕ ТАБЛИЦЫ: ПРОСТОТА РЕАЛИЗАЦИИ</t>
  </si>
  <si>
    <t>ОЦЕНКИ ЭКСПЕРТОВ: МАСШТАБИРУЕМОСТЬ</t>
  </si>
  <si>
    <t>ОБЩИЕ ТАБЛИЦЫ: МАСШТАБИРУЕМОСТЬ</t>
  </si>
  <si>
    <t>ОЦЕНКИ ЭКСПЕРТОВ: ПОТЕНЦИАЛ МОНЕТИЗАЦИИ</t>
  </si>
  <si>
    <t>ОБЩИЕ ТАБЛИЦЫ: ПОТЕНЦИАЛ МОНЕТИЗАЦИИ</t>
  </si>
  <si>
    <t>ИТОГ</t>
  </si>
  <si>
    <t>Веса в долях</t>
  </si>
  <si>
    <t>Критерии</t>
  </si>
  <si>
    <t>Веса альтернатив</t>
  </si>
  <si>
    <t>Концепции проектов</t>
  </si>
  <si>
    <t>Короткое название</t>
  </si>
  <si>
    <t>Веб-приложение для создания и оформления страховых продуктов</t>
  </si>
  <si>
    <t>Страхование</t>
  </si>
  <si>
    <t>Скорость работы над проектом</t>
  </si>
  <si>
    <t>Веб-приложение для оформления кредитов</t>
  </si>
  <si>
    <t>Кредиты</t>
  </si>
  <si>
    <t>Телеграмм-бот для подписки на обновления в информационных ресурсах</t>
  </si>
  <si>
    <t>Тг-бот</t>
  </si>
  <si>
    <t>Мобильное приложение Калории</t>
  </si>
  <si>
    <t>Калории</t>
  </si>
  <si>
    <t>Мобильное приложение календарь менструаций</t>
  </si>
  <si>
    <t>Календарь</t>
  </si>
  <si>
    <t>Потенциал для развития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</si>
</sst>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1.0"/>
      <color rgb="FF000000"/>
      <name val="Arial"/>
    </font>
    <font>
      <b/>
      <sz val="11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8CBAD"/>
        <bgColor rgb="FFF8CBAD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D8E4BC"/>
        <bgColor rgb="FFD8E4BC"/>
      </patternFill>
    </fill>
    <fill>
      <patternFill patternType="solid">
        <fgColor rgb="FFA9D08E"/>
        <bgColor rgb="FFA9D08E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2" xfId="0" applyAlignment="1" applyBorder="1" applyFill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6" fontId="6" numFmtId="0" xfId="0" applyAlignment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0" fillId="8" fontId="5" numFmtId="0" xfId="0" applyAlignment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0" fontId="8" numFmtId="0" xfId="0" applyAlignment="1" applyBorder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0"/>
    </xf>
    <xf borderId="1" fillId="0" fontId="2" numFmtId="10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11" fontId="6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12" fontId="2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13" fontId="6" numFmtId="0" xfId="0" applyAlignment="1" applyFill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shrinkToFit="0" vertical="center" wrapText="1"/>
    </xf>
    <xf borderId="0" fillId="15" fontId="1" numFmtId="0" xfId="0" applyAlignment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16" fontId="5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ill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10" xfId="0" applyAlignment="1" applyBorder="1" applyFont="1" applyNumberFormat="1">
      <alignment horizontal="center" shrinkToFit="0" vertical="center" wrapText="1"/>
    </xf>
    <xf borderId="6" fillId="17" fontId="5" numFmtId="0" xfId="0" applyAlignment="1" applyBorder="1" applyFill="1" applyFont="1">
      <alignment horizontal="center" readingOrder="0" shrinkToFit="0" vertical="center" wrapText="1"/>
    </xf>
    <xf borderId="7" fillId="17" fontId="2" numFmtId="0" xfId="0" applyAlignment="1" applyBorder="1" applyFill="1" applyFont="1">
      <alignment horizontal="center" shrinkToFit="0" vertical="center" wrapText="1"/>
    </xf>
    <xf borderId="8" fillId="17" fontId="2" numFmtId="10" xfId="0" applyAlignment="1" applyBorder="1" applyFill="1" applyFont="1" applyNumberFormat="1">
      <alignment horizontal="center" shrinkToFit="0" vertical="center" wrapText="1"/>
    </xf>
    <xf borderId="9" fillId="2" fontId="5" numFmtId="0" xfId="0" applyAlignment="1" applyBorder="1" applyFill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10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3" width="12.63"/>
    <col customWidth="1" min="4" max="4" width="14.25"/>
    <col customWidth="1" min="5" max="5" width="16.25"/>
    <col customWidth="1" min="7" max="7" width="16.63"/>
    <col customWidth="1" min="8" max="8" width="16.38"/>
    <col customWidth="1" min="9" max="9" width="17.13"/>
    <col customWidth="1" min="10" max="10" width="16.75"/>
    <col customWidth="1" min="11" max="11" width="15.13"/>
    <col customWidth="1" min="14" max="14" width="15.0"/>
    <col customWidth="1" min="15" max="15" width="15.75"/>
    <col customWidth="1" min="18" max="18" width="14.5"/>
    <col customWidth="1" min="20" max="20" width="16.25"/>
  </cols>
  <sheetData>
    <row r="1" ht="15.75" customHeight="1">
      <c r="A1" s="1" t="s">
        <v>0</v>
      </c>
      <c r="F1" s="2"/>
      <c r="G1" s="1" t="s">
        <v>1</v>
      </c>
      <c r="M1" s="3"/>
      <c r="N1" s="1" t="s">
        <v>2</v>
      </c>
      <c r="T1" s="2"/>
      <c r="U1" s="2"/>
    </row>
    <row r="2" ht="15.75" customHeight="1">
      <c r="A2" s="4"/>
      <c r="B2" s="5"/>
      <c r="C2" s="5"/>
      <c r="D2" s="5"/>
      <c r="E2" s="5"/>
      <c r="F2" s="4"/>
      <c r="G2" s="4"/>
      <c r="H2" s="5"/>
      <c r="I2" s="5"/>
      <c r="J2" s="5"/>
      <c r="K2" s="5"/>
      <c r="L2" s="5"/>
      <c r="M2" s="3"/>
      <c r="N2" s="4"/>
      <c r="O2" s="5"/>
      <c r="P2" s="5"/>
      <c r="Q2" s="5"/>
      <c r="R2" s="5"/>
      <c r="S2" s="5"/>
      <c r="T2" s="6" t="s">
        <v>3</v>
      </c>
      <c r="U2" s="6" t="s">
        <v>4</v>
      </c>
    </row>
    <row r="3" ht="15.75" customHeight="1">
      <c r="A3" s="7"/>
      <c r="B3" s="8" t="s">
        <v>5</v>
      </c>
      <c r="C3" s="8" t="s">
        <v>6</v>
      </c>
      <c r="D3" s="8" t="s">
        <v>7</v>
      </c>
      <c r="E3" s="8" t="s">
        <v>8</v>
      </c>
      <c r="F3" s="3"/>
      <c r="G3" s="7"/>
      <c r="H3" s="8" t="s">
        <v>5</v>
      </c>
      <c r="I3" s="8" t="s">
        <v>6</v>
      </c>
      <c r="J3" s="8" t="s">
        <v>7</v>
      </c>
      <c r="K3" s="8" t="s">
        <v>8</v>
      </c>
      <c r="L3" s="3"/>
      <c r="M3" s="3"/>
      <c r="N3" s="7"/>
      <c r="O3" s="8" t="s">
        <v>5</v>
      </c>
      <c r="P3" s="8" t="s">
        <v>6</v>
      </c>
      <c r="Q3" s="8" t="s">
        <v>7</v>
      </c>
      <c r="R3" s="8" t="s">
        <v>8</v>
      </c>
      <c r="S3" s="3"/>
      <c r="T3" s="9">
        <v>4.0</v>
      </c>
      <c r="U3" s="6">
        <v>0.9</v>
      </c>
    </row>
    <row r="4" ht="15.75" customHeight="1">
      <c r="A4" s="8" t="s">
        <v>5</v>
      </c>
      <c r="B4" s="10">
        <v>1.0</v>
      </c>
      <c r="C4" s="11">
        <f>1/B5</f>
        <v>9</v>
      </c>
      <c r="D4" s="11">
        <f>1/B6</f>
        <v>7</v>
      </c>
      <c r="E4" s="11">
        <f>1/B7</f>
        <v>3</v>
      </c>
      <c r="F4" s="3"/>
      <c r="G4" s="8" t="s">
        <v>5</v>
      </c>
      <c r="H4" s="12">
        <v>1.0</v>
      </c>
      <c r="I4" s="11">
        <f>1/H5</f>
        <v>6</v>
      </c>
      <c r="J4" s="11">
        <f>1/H6</f>
        <v>6</v>
      </c>
      <c r="K4" s="11">
        <f>1/H7</f>
        <v>2</v>
      </c>
      <c r="L4" s="3"/>
      <c r="M4" s="3"/>
      <c r="N4" s="8" t="s">
        <v>5</v>
      </c>
      <c r="O4" s="12">
        <v>1.0</v>
      </c>
      <c r="P4" s="11">
        <f>1/O5</f>
        <v>7</v>
      </c>
      <c r="Q4" s="11">
        <f>1/O6</f>
        <v>5</v>
      </c>
      <c r="R4" s="11">
        <f>1/O7</f>
        <v>2</v>
      </c>
      <c r="S4" s="3"/>
      <c r="T4" s="3"/>
      <c r="U4" s="5"/>
    </row>
    <row r="5" ht="15.75" customHeight="1">
      <c r="A5" s="8" t="s">
        <v>6</v>
      </c>
      <c r="B5" s="12">
        <f>1/9</f>
        <v>0.1111111111</v>
      </c>
      <c r="C5" s="10">
        <v>1.0</v>
      </c>
      <c r="D5" s="11">
        <f>1/C6</f>
        <v>0.25</v>
      </c>
      <c r="E5" s="11">
        <f>1/C7</f>
        <v>0.2</v>
      </c>
      <c r="F5" s="3"/>
      <c r="G5" s="8" t="s">
        <v>6</v>
      </c>
      <c r="H5" s="12">
        <f t="shared" ref="H5:H6" si="1">1/6</f>
        <v>0.1666666667</v>
      </c>
      <c r="I5" s="12">
        <v>1.0</v>
      </c>
      <c r="J5" s="11">
        <f>1/I6</f>
        <v>0.2</v>
      </c>
      <c r="K5" s="11">
        <f>1/I7</f>
        <v>0.5</v>
      </c>
      <c r="L5" s="3"/>
      <c r="M5" s="3"/>
      <c r="N5" s="8" t="s">
        <v>6</v>
      </c>
      <c r="O5" s="12">
        <f>1/7</f>
        <v>0.1428571429</v>
      </c>
      <c r="P5" s="12">
        <v>1.0</v>
      </c>
      <c r="Q5" s="11">
        <f>1/P6</f>
        <v>0.3333333333</v>
      </c>
      <c r="R5" s="11">
        <f>1/P7</f>
        <v>0.2</v>
      </c>
      <c r="S5" s="3"/>
      <c r="T5" s="3"/>
      <c r="U5" s="5"/>
    </row>
    <row r="6" ht="15.75" customHeight="1">
      <c r="A6" s="8" t="s">
        <v>7</v>
      </c>
      <c r="B6" s="12">
        <f>1/7</f>
        <v>0.1428571429</v>
      </c>
      <c r="C6" s="13">
        <v>4.0</v>
      </c>
      <c r="D6" s="10">
        <v>1.0</v>
      </c>
      <c r="E6" s="11">
        <f>1/D7</f>
        <v>0.25</v>
      </c>
      <c r="F6" s="3"/>
      <c r="G6" s="8" t="s">
        <v>7</v>
      </c>
      <c r="H6" s="12">
        <f t="shared" si="1"/>
        <v>0.1666666667</v>
      </c>
      <c r="I6" s="13">
        <v>5.0</v>
      </c>
      <c r="J6" s="12">
        <v>1.0</v>
      </c>
      <c r="K6" s="11">
        <f>1/J7</f>
        <v>0.4</v>
      </c>
      <c r="L6" s="3"/>
      <c r="M6" s="3"/>
      <c r="N6" s="8" t="s">
        <v>7</v>
      </c>
      <c r="O6" s="12">
        <f>1/5</f>
        <v>0.2</v>
      </c>
      <c r="P6" s="13">
        <v>3.0</v>
      </c>
      <c r="Q6" s="12">
        <v>1.0</v>
      </c>
      <c r="R6" s="11">
        <f>1/Q7</f>
        <v>0.3333333333</v>
      </c>
      <c r="S6" s="3"/>
      <c r="T6" s="3"/>
      <c r="U6" s="5"/>
    </row>
    <row r="7" ht="15.75" customHeight="1">
      <c r="A7" s="8" t="s">
        <v>8</v>
      </c>
      <c r="B7" s="13">
        <f>1/3</f>
        <v>0.3333333333</v>
      </c>
      <c r="C7" s="13">
        <v>5.0</v>
      </c>
      <c r="D7" s="13">
        <v>4.0</v>
      </c>
      <c r="E7" s="10">
        <v>1.0</v>
      </c>
      <c r="F7" s="3"/>
      <c r="G7" s="8" t="s">
        <v>8</v>
      </c>
      <c r="H7" s="13">
        <v>0.5</v>
      </c>
      <c r="I7" s="13">
        <v>2.0</v>
      </c>
      <c r="J7" s="13">
        <v>2.5</v>
      </c>
      <c r="K7" s="12">
        <v>1.0</v>
      </c>
      <c r="L7" s="3"/>
      <c r="M7" s="3"/>
      <c r="N7" s="8" t="s">
        <v>8</v>
      </c>
      <c r="O7" s="13">
        <v>0.5</v>
      </c>
      <c r="P7" s="13">
        <v>5.0</v>
      </c>
      <c r="Q7" s="13">
        <v>3.0</v>
      </c>
      <c r="R7" s="12">
        <v>1.0</v>
      </c>
      <c r="S7" s="3"/>
      <c r="T7" s="3"/>
      <c r="U7" s="5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5"/>
    </row>
    <row r="9" ht="15.75" customHeight="1">
      <c r="A9" s="14"/>
      <c r="B9" s="14"/>
      <c r="C9" s="14"/>
      <c r="D9" s="14"/>
      <c r="E9" s="14"/>
      <c r="F9" s="3"/>
      <c r="G9" s="14"/>
      <c r="H9" s="14"/>
      <c r="I9" s="14"/>
      <c r="J9" s="14"/>
      <c r="K9" s="14"/>
      <c r="L9" s="14"/>
      <c r="M9" s="3"/>
      <c r="N9" s="14"/>
      <c r="O9" s="14"/>
      <c r="P9" s="14"/>
      <c r="Q9" s="14"/>
      <c r="R9" s="14"/>
      <c r="S9" s="14"/>
      <c r="T9" s="3"/>
      <c r="U9" s="3"/>
    </row>
    <row r="10" ht="15.75" customHeight="1">
      <c r="A10" s="15" t="s">
        <v>9</v>
      </c>
      <c r="T10" s="3"/>
      <c r="U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5.75" customHeight="1">
      <c r="A12" s="16"/>
      <c r="B12" s="8" t="s">
        <v>5</v>
      </c>
      <c r="C12" s="8" t="s">
        <v>6</v>
      </c>
      <c r="D12" s="8" t="s">
        <v>7</v>
      </c>
      <c r="E12" s="8" t="s">
        <v>8</v>
      </c>
      <c r="F12" s="3"/>
      <c r="G12" s="17"/>
      <c r="H12" s="8" t="s">
        <v>5</v>
      </c>
      <c r="I12" s="8" t="s">
        <v>6</v>
      </c>
      <c r="J12" s="8" t="s">
        <v>7</v>
      </c>
      <c r="K12" s="8" t="s">
        <v>8</v>
      </c>
      <c r="L12" s="3"/>
      <c r="M12" s="18" t="s">
        <v>10</v>
      </c>
      <c r="N12" s="18" t="s">
        <v>11</v>
      </c>
      <c r="O12" s="3"/>
      <c r="P12" s="3"/>
      <c r="Q12" s="3"/>
      <c r="R12" s="3"/>
      <c r="S12" s="3"/>
      <c r="T12" s="3"/>
      <c r="U12" s="3"/>
    </row>
    <row r="13" ht="15.75" customHeight="1">
      <c r="A13" s="8" t="s">
        <v>5</v>
      </c>
      <c r="B13" s="10">
        <f t="shared" ref="B13:E13" si="2">POWER(B4*H4*O4,1/3)</f>
        <v>1</v>
      </c>
      <c r="C13" s="10">
        <f t="shared" si="2"/>
        <v>7.230426793</v>
      </c>
      <c r="D13" s="10">
        <f t="shared" si="2"/>
        <v>5.943921953</v>
      </c>
      <c r="E13" s="10">
        <f t="shared" si="2"/>
        <v>2.289428485</v>
      </c>
      <c r="F13" s="3"/>
      <c r="G13" s="8" t="s">
        <v>5</v>
      </c>
      <c r="H13" s="19">
        <f t="shared" ref="H13:H16" si="4">B13/$B$18</f>
        <v>0.5736136325</v>
      </c>
      <c r="I13" s="19">
        <f t="shared" ref="I13:I16" si="5">C13/$C$18</f>
        <v>0.4567741433</v>
      </c>
      <c r="J13" s="19">
        <f t="shared" ref="J13:J16" si="6">D13/$D$18</f>
        <v>0.5767107659</v>
      </c>
      <c r="K13" s="19">
        <f t="shared" ref="K13:K16" si="7">E13/$E$18</f>
        <v>0.5896485591</v>
      </c>
      <c r="L13" s="3"/>
      <c r="M13" s="3">
        <f t="shared" ref="M13:M16" si="8">AVERAGE(H13:L13)</f>
        <v>0.5491867752</v>
      </c>
      <c r="N13" s="20">
        <f t="shared" ref="N13:N16" si="9">AVERAGE(H13:L13)</f>
        <v>0.5491867752</v>
      </c>
      <c r="O13" s="3"/>
      <c r="P13" s="3"/>
      <c r="Q13" s="3"/>
      <c r="R13" s="3"/>
      <c r="S13" s="3"/>
      <c r="T13" s="3"/>
      <c r="U13" s="3"/>
    </row>
    <row r="14" ht="15.75" customHeight="1">
      <c r="A14" s="8" t="s">
        <v>6</v>
      </c>
      <c r="B14" s="10">
        <f t="shared" ref="B14:E14" si="3">POWER(B5*H5*O5,1/3)</f>
        <v>0.1383044222</v>
      </c>
      <c r="C14" s="10">
        <f t="shared" si="3"/>
        <v>1</v>
      </c>
      <c r="D14" s="10">
        <f t="shared" si="3"/>
        <v>0.2554364775</v>
      </c>
      <c r="E14" s="10">
        <f t="shared" si="3"/>
        <v>0.2714417617</v>
      </c>
      <c r="F14" s="3"/>
      <c r="G14" s="8" t="s">
        <v>6</v>
      </c>
      <c r="H14" s="19">
        <f t="shared" si="4"/>
        <v>0.07933330203</v>
      </c>
      <c r="I14" s="19">
        <f t="shared" si="5"/>
        <v>0.06317388398</v>
      </c>
      <c r="J14" s="19">
        <f t="shared" si="6"/>
        <v>0.02478379893</v>
      </c>
      <c r="K14" s="19">
        <f t="shared" si="7"/>
        <v>0.06991056707</v>
      </c>
      <c r="L14" s="3"/>
      <c r="M14" s="3">
        <f t="shared" si="8"/>
        <v>0.059300388</v>
      </c>
      <c r="N14" s="20">
        <f t="shared" si="9"/>
        <v>0.059300388</v>
      </c>
      <c r="O14" s="3"/>
      <c r="P14" s="3"/>
      <c r="Q14" s="3"/>
      <c r="R14" s="3"/>
      <c r="S14" s="3"/>
      <c r="T14" s="3"/>
      <c r="U14" s="3"/>
    </row>
    <row r="15" ht="15.75" customHeight="1">
      <c r="A15" s="8" t="s">
        <v>7</v>
      </c>
      <c r="B15" s="10">
        <f t="shared" ref="B15:E15" si="10">POWER(B6*H6*O6,1/3)</f>
        <v>0.1682390866</v>
      </c>
      <c r="C15" s="10">
        <f t="shared" si="10"/>
        <v>3.914867641</v>
      </c>
      <c r="D15" s="10">
        <f t="shared" si="10"/>
        <v>1</v>
      </c>
      <c r="E15" s="10">
        <f t="shared" si="10"/>
        <v>0.3218297949</v>
      </c>
      <c r="F15" s="3"/>
      <c r="G15" s="8" t="s">
        <v>7</v>
      </c>
      <c r="H15" s="19">
        <f t="shared" si="4"/>
        <v>0.09650423358</v>
      </c>
      <c r="I15" s="19">
        <f t="shared" si="5"/>
        <v>0.2473173942</v>
      </c>
      <c r="J15" s="19">
        <f t="shared" si="6"/>
        <v>0.09702529247</v>
      </c>
      <c r="K15" s="19">
        <f t="shared" si="7"/>
        <v>0.08288814264</v>
      </c>
      <c r="L15" s="3"/>
      <c r="M15" s="3">
        <f t="shared" si="8"/>
        <v>0.1309337657</v>
      </c>
      <c r="N15" s="20">
        <f t="shared" si="9"/>
        <v>0.1309337657</v>
      </c>
      <c r="O15" s="3"/>
      <c r="P15" s="3"/>
      <c r="Q15" s="3"/>
      <c r="R15" s="3"/>
      <c r="S15" s="3"/>
      <c r="T15" s="3"/>
      <c r="U15" s="3"/>
    </row>
    <row r="16" ht="15.75" customHeight="1">
      <c r="A16" s="8" t="s">
        <v>8</v>
      </c>
      <c r="B16" s="10">
        <f t="shared" ref="B16:E16" si="11">POWER(B7*H7*O7,1/3)</f>
        <v>0.4367902324</v>
      </c>
      <c r="C16" s="10">
        <f t="shared" si="11"/>
        <v>3.684031499</v>
      </c>
      <c r="D16" s="10">
        <f t="shared" si="11"/>
        <v>3.107232506</v>
      </c>
      <c r="E16" s="10">
        <f t="shared" si="11"/>
        <v>1</v>
      </c>
      <c r="F16" s="3"/>
      <c r="G16" s="8" t="s">
        <v>8</v>
      </c>
      <c r="H16" s="19">
        <f t="shared" si="4"/>
        <v>0.2505488318</v>
      </c>
      <c r="I16" s="19">
        <f t="shared" si="5"/>
        <v>0.2327345785</v>
      </c>
      <c r="J16" s="19">
        <f t="shared" si="6"/>
        <v>0.3014801427</v>
      </c>
      <c r="K16" s="19">
        <f t="shared" si="7"/>
        <v>0.2575527312</v>
      </c>
      <c r="L16" s="3"/>
      <c r="M16" s="3">
        <f t="shared" si="8"/>
        <v>0.260579071</v>
      </c>
      <c r="N16" s="20">
        <f t="shared" si="9"/>
        <v>0.260579071</v>
      </c>
      <c r="O16" s="3"/>
      <c r="P16" s="3"/>
      <c r="Q16" s="3"/>
      <c r="R16" s="3"/>
      <c r="S16" s="3"/>
      <c r="T16" s="3"/>
      <c r="U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20"/>
      <c r="O17" s="3"/>
      <c r="P17" s="3"/>
      <c r="Q17" s="3"/>
      <c r="R17" s="3"/>
      <c r="S17" s="3"/>
      <c r="T17" s="3"/>
      <c r="U17" s="3"/>
    </row>
    <row r="18" ht="15.75" customHeight="1">
      <c r="A18" s="14" t="s">
        <v>12</v>
      </c>
      <c r="B18" s="14">
        <f t="shared" ref="B18:E18" si="12">SUM(B13:B17)</f>
        <v>1.743333741</v>
      </c>
      <c r="C18" s="14">
        <f t="shared" si="12"/>
        <v>15.82932593</v>
      </c>
      <c r="D18" s="14">
        <f t="shared" si="12"/>
        <v>10.30659094</v>
      </c>
      <c r="E18" s="14">
        <f t="shared" si="12"/>
        <v>3.882700042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5.75" customHeight="1">
      <c r="A20" s="21" t="s">
        <v>13</v>
      </c>
      <c r="T20" s="3"/>
      <c r="U20" s="3"/>
    </row>
    <row r="21" ht="15.75" customHeight="1">
      <c r="A21" s="4"/>
      <c r="B21" s="4"/>
      <c r="C21" s="4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22" t="s">
        <v>14</v>
      </c>
      <c r="B22" s="23" t="s">
        <v>15</v>
      </c>
      <c r="C22" s="23" t="s">
        <v>16</v>
      </c>
      <c r="D22" s="23" t="s">
        <v>17</v>
      </c>
      <c r="E22" s="23" t="s">
        <v>18</v>
      </c>
      <c r="F22" s="3"/>
      <c r="G22" s="22" t="s">
        <v>14</v>
      </c>
      <c r="H22" s="23" t="s">
        <v>15</v>
      </c>
      <c r="I22" s="23" t="s">
        <v>16</v>
      </c>
      <c r="J22" s="23" t="s">
        <v>17</v>
      </c>
      <c r="K22" s="23" t="s">
        <v>18</v>
      </c>
      <c r="L22" s="3"/>
      <c r="M22" s="3"/>
      <c r="N22" s="22" t="s">
        <v>5</v>
      </c>
      <c r="O22" s="23" t="s">
        <v>15</v>
      </c>
      <c r="P22" s="23" t="s">
        <v>16</v>
      </c>
      <c r="Q22" s="23" t="s">
        <v>17</v>
      </c>
      <c r="R22" s="23" t="s">
        <v>18</v>
      </c>
      <c r="T22" s="3"/>
      <c r="U22" s="3"/>
    </row>
    <row r="23" ht="15.75" customHeight="1">
      <c r="A23" s="23" t="s">
        <v>15</v>
      </c>
      <c r="B23" s="24">
        <v>1.0</v>
      </c>
      <c r="C23" s="24">
        <f>1/B24</f>
        <v>0.1666666667</v>
      </c>
      <c r="D23" s="24">
        <f>1/B25</f>
        <v>0.3333333333</v>
      </c>
      <c r="E23" s="24">
        <f>1/B26</f>
        <v>4</v>
      </c>
      <c r="F23" s="3"/>
      <c r="G23" s="23" t="s">
        <v>15</v>
      </c>
      <c r="H23" s="24">
        <v>1.0</v>
      </c>
      <c r="I23" s="24">
        <f>1/H24</f>
        <v>0.3333333333</v>
      </c>
      <c r="J23" s="24">
        <f>1/H25</f>
        <v>1</v>
      </c>
      <c r="K23" s="24">
        <f>1/H26</f>
        <v>3.5</v>
      </c>
      <c r="L23" s="3"/>
      <c r="M23" s="3"/>
      <c r="N23" s="23" t="s">
        <v>15</v>
      </c>
      <c r="O23" s="24">
        <v>1.0</v>
      </c>
      <c r="P23" s="24">
        <f>1/O24</f>
        <v>0.25</v>
      </c>
      <c r="Q23" s="24">
        <f>1/O25</f>
        <v>0.5</v>
      </c>
      <c r="R23" s="24">
        <f>1/O26</f>
        <v>3</v>
      </c>
      <c r="T23" s="3"/>
      <c r="U23" s="3"/>
    </row>
    <row r="24" ht="15.75" customHeight="1">
      <c r="A24" s="23" t="s">
        <v>16</v>
      </c>
      <c r="B24" s="25">
        <v>6.0</v>
      </c>
      <c r="C24" s="24">
        <v>1.0</v>
      </c>
      <c r="D24" s="24">
        <f>1/C25</f>
        <v>5</v>
      </c>
      <c r="E24" s="25">
        <f>1/C26</f>
        <v>7</v>
      </c>
      <c r="F24" s="3"/>
      <c r="G24" s="23" t="s">
        <v>16</v>
      </c>
      <c r="H24" s="25">
        <v>3.0</v>
      </c>
      <c r="I24" s="24">
        <v>1.0</v>
      </c>
      <c r="J24" s="24">
        <f>1/I25</f>
        <v>4</v>
      </c>
      <c r="K24" s="25">
        <f>1/I26</f>
        <v>8</v>
      </c>
      <c r="L24" s="3"/>
      <c r="M24" s="3"/>
      <c r="N24" s="23" t="s">
        <v>16</v>
      </c>
      <c r="O24" s="25">
        <v>4.0</v>
      </c>
      <c r="P24" s="24">
        <v>1.0</v>
      </c>
      <c r="Q24" s="24">
        <f>1/P25</f>
        <v>3</v>
      </c>
      <c r="R24" s="25">
        <f>1/P26</f>
        <v>9</v>
      </c>
      <c r="T24" s="3"/>
      <c r="U24" s="3"/>
    </row>
    <row r="25" ht="15.75" customHeight="1">
      <c r="A25" s="23" t="s">
        <v>17</v>
      </c>
      <c r="B25" s="25">
        <v>3.0</v>
      </c>
      <c r="C25" s="24">
        <f>1/5</f>
        <v>0.2</v>
      </c>
      <c r="D25" s="24">
        <v>1.0</v>
      </c>
      <c r="E25" s="24">
        <f>1/D26</f>
        <v>5</v>
      </c>
      <c r="F25" s="3"/>
      <c r="G25" s="23" t="s">
        <v>17</v>
      </c>
      <c r="H25" s="25">
        <v>1.0</v>
      </c>
      <c r="I25" s="24">
        <f>1/4</f>
        <v>0.25</v>
      </c>
      <c r="J25" s="24">
        <v>1.0</v>
      </c>
      <c r="K25" s="24">
        <f>1/J26</f>
        <v>5</v>
      </c>
      <c r="L25" s="3"/>
      <c r="M25" s="3"/>
      <c r="N25" s="23" t="s">
        <v>17</v>
      </c>
      <c r="O25" s="25">
        <v>2.0</v>
      </c>
      <c r="P25" s="24">
        <f>1/3</f>
        <v>0.3333333333</v>
      </c>
      <c r="Q25" s="24">
        <v>1.0</v>
      </c>
      <c r="R25" s="24">
        <f>1/Q26</f>
        <v>5</v>
      </c>
      <c r="T25" s="3"/>
      <c r="U25" s="3"/>
    </row>
    <row r="26" ht="15.75" customHeight="1">
      <c r="A26" s="23" t="s">
        <v>18</v>
      </c>
      <c r="B26" s="24">
        <f>1/4</f>
        <v>0.25</v>
      </c>
      <c r="C26" s="25">
        <f>1/7</f>
        <v>0.1428571429</v>
      </c>
      <c r="D26" s="25">
        <f>1/5</f>
        <v>0.2</v>
      </c>
      <c r="E26" s="24">
        <v>1.0</v>
      </c>
      <c r="F26" s="3"/>
      <c r="G26" s="23" t="s">
        <v>18</v>
      </c>
      <c r="H26" s="24">
        <f>1/3.5</f>
        <v>0.2857142857</v>
      </c>
      <c r="I26" s="25">
        <f>1/8</f>
        <v>0.125</v>
      </c>
      <c r="J26" s="25">
        <f>1/5</f>
        <v>0.2</v>
      </c>
      <c r="K26" s="24">
        <v>1.0</v>
      </c>
      <c r="L26" s="3"/>
      <c r="M26" s="3"/>
      <c r="N26" s="23" t="s">
        <v>18</v>
      </c>
      <c r="O26" s="24">
        <f>1/3</f>
        <v>0.3333333333</v>
      </c>
      <c r="P26" s="25">
        <f>1/9</f>
        <v>0.1111111111</v>
      </c>
      <c r="Q26" s="25">
        <f>1/5</f>
        <v>0.2</v>
      </c>
      <c r="R26" s="24">
        <v>1.0</v>
      </c>
      <c r="T26" s="3"/>
      <c r="U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</row>
    <row r="28" ht="15.75" customHeight="1">
      <c r="A28" s="14"/>
      <c r="B28" s="14"/>
      <c r="C28" s="14"/>
      <c r="D28" s="14"/>
      <c r="E28" s="14"/>
      <c r="F28" s="3"/>
      <c r="G28" s="4"/>
      <c r="H28" s="4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21" t="s">
        <v>19</v>
      </c>
      <c r="T29" s="3"/>
      <c r="U29" s="3"/>
    </row>
    <row r="30" ht="15.75" customHeight="1">
      <c r="A30" s="3"/>
      <c r="B30" s="3"/>
      <c r="C30" s="3"/>
      <c r="D30" s="3"/>
      <c r="E30" s="3"/>
      <c r="F30" s="3"/>
      <c r="G30" s="3" t="s">
        <v>20</v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26" t="s">
        <v>14</v>
      </c>
      <c r="B31" s="23" t="s">
        <v>15</v>
      </c>
      <c r="C31" s="23" t="s">
        <v>16</v>
      </c>
      <c r="D31" s="23" t="s">
        <v>17</v>
      </c>
      <c r="E31" s="23" t="s">
        <v>18</v>
      </c>
      <c r="F31" s="3"/>
      <c r="G31" s="27" t="s">
        <v>21</v>
      </c>
      <c r="H31" s="27" t="s">
        <v>22</v>
      </c>
      <c r="I31" s="28" t="s">
        <v>23</v>
      </c>
      <c r="J31" s="27" t="s">
        <v>24</v>
      </c>
      <c r="K31" s="29" t="s">
        <v>25</v>
      </c>
      <c r="L31" s="3"/>
      <c r="M31" s="16" t="s">
        <v>26</v>
      </c>
      <c r="N31" s="23" t="s">
        <v>15</v>
      </c>
      <c r="O31" s="23" t="s">
        <v>16</v>
      </c>
      <c r="P31" s="23" t="s">
        <v>17</v>
      </c>
      <c r="Q31" s="23" t="s">
        <v>18</v>
      </c>
      <c r="S31" s="18" t="s">
        <v>10</v>
      </c>
      <c r="T31" s="18" t="s">
        <v>11</v>
      </c>
      <c r="U31" s="3"/>
    </row>
    <row r="32" ht="15.75" customHeight="1">
      <c r="A32" s="23" t="s">
        <v>15</v>
      </c>
      <c r="B32" s="24">
        <f t="shared" ref="B32:E32" si="13">POWER(B23*H23*O23,1/3)</f>
        <v>1</v>
      </c>
      <c r="C32" s="24">
        <f t="shared" si="13"/>
        <v>0.2403749284</v>
      </c>
      <c r="D32" s="24">
        <f t="shared" si="13"/>
        <v>0.5503212081</v>
      </c>
      <c r="E32" s="30">
        <f t="shared" si="13"/>
        <v>3.476026645</v>
      </c>
      <c r="F32" s="31"/>
      <c r="G32" s="32">
        <v>1.0</v>
      </c>
      <c r="H32" s="12">
        <f t="array" ref="H32:H35">MMULT(B32:E35,G32:G35)/MMULT(TRANSPOSE(G32:G35),MMULT(B32:E35,G32:G35))</f>
        <v>0.1646582968</v>
      </c>
      <c r="I32" s="12">
        <f t="array" ref="I32">MMULT(TRANSPOSE(G32:G35),MMULT(B32:E35,H32:H35))</f>
        <v>4.368852873</v>
      </c>
      <c r="J32" s="12">
        <f>(I32-T3)/(T3-1)</f>
        <v>0.1229509575</v>
      </c>
      <c r="K32" s="33">
        <f>J32/U3</f>
        <v>0.136612175</v>
      </c>
      <c r="L32" s="3"/>
      <c r="M32" s="23" t="s">
        <v>15</v>
      </c>
      <c r="N32" s="24">
        <f t="shared" ref="N32:N35" si="15">B32/$B$37</f>
        <v>0.1376467601</v>
      </c>
      <c r="O32" s="24">
        <f t="shared" ref="O32:O35" si="16">C32/$C$37</f>
        <v>0.1482451296</v>
      </c>
      <c r="P32" s="24">
        <f t="shared" ref="P32:P35" si="17">D32/$D$37</f>
        <v>0.09714084081</v>
      </c>
      <c r="Q32" s="24">
        <f t="shared" ref="Q32:Q35" si="18">E32/$E$37</f>
        <v>0.1993804359</v>
      </c>
      <c r="S32" s="3">
        <f t="shared" ref="S32:S35" si="19">AVERAGE(N32:R32)</f>
        <v>0.1456032916</v>
      </c>
      <c r="T32" s="20">
        <f t="shared" ref="T32:T35" si="20">AVERAGE(N32:R32)</f>
        <v>0.1456032916</v>
      </c>
      <c r="U32" s="3"/>
    </row>
    <row r="33" ht="15.75" customHeight="1">
      <c r="A33" s="23" t="s">
        <v>16</v>
      </c>
      <c r="B33" s="24">
        <f t="shared" ref="B33:E33" si="14">POWER(B24*H24*O24,1/3)</f>
        <v>4.160167646</v>
      </c>
      <c r="C33" s="24">
        <f t="shared" si="14"/>
        <v>1</v>
      </c>
      <c r="D33" s="24">
        <f t="shared" si="14"/>
        <v>3.914867641</v>
      </c>
      <c r="E33" s="24">
        <f t="shared" si="14"/>
        <v>7.958114416</v>
      </c>
      <c r="F33" s="3"/>
      <c r="G33" s="12">
        <v>1.0</v>
      </c>
      <c r="H33" s="12">
        <v>0.5325226969151616</v>
      </c>
      <c r="I33" s="12"/>
      <c r="J33" s="12"/>
      <c r="K33" s="34"/>
      <c r="L33" s="3"/>
      <c r="M33" s="23" t="s">
        <v>16</v>
      </c>
      <c r="N33" s="24">
        <f t="shared" si="15"/>
        <v>0.5726335981</v>
      </c>
      <c r="O33" s="24">
        <f t="shared" si="16"/>
        <v>0.6167245918</v>
      </c>
      <c r="P33" s="24">
        <f t="shared" si="17"/>
        <v>0.6910392125</v>
      </c>
      <c r="Q33" s="24">
        <f t="shared" si="18"/>
        <v>0.4564672494</v>
      </c>
      <c r="S33" s="3">
        <f t="shared" si="19"/>
        <v>0.5842161629</v>
      </c>
      <c r="T33" s="20">
        <f t="shared" si="20"/>
        <v>0.5842161629</v>
      </c>
      <c r="U33" s="3"/>
    </row>
    <row r="34" ht="15.75" customHeight="1">
      <c r="A34" s="23" t="s">
        <v>17</v>
      </c>
      <c r="B34" s="24">
        <f t="shared" ref="B34:E34" si="21">POWER(B25*H25*O25,1/3)</f>
        <v>1.817120593</v>
      </c>
      <c r="C34" s="24">
        <f t="shared" si="21"/>
        <v>0.2554364775</v>
      </c>
      <c r="D34" s="24">
        <f t="shared" si="21"/>
        <v>1</v>
      </c>
      <c r="E34" s="24">
        <f t="shared" si="21"/>
        <v>5</v>
      </c>
      <c r="F34" s="3"/>
      <c r="G34" s="12">
        <v>1.0</v>
      </c>
      <c r="H34" s="12">
        <v>0.25237962074050657</v>
      </c>
      <c r="I34" s="12"/>
      <c r="J34" s="12"/>
      <c r="K34" s="34"/>
      <c r="L34" s="3"/>
      <c r="M34" s="23" t="s">
        <v>17</v>
      </c>
      <c r="N34" s="24">
        <f t="shared" si="15"/>
        <v>0.2501207624</v>
      </c>
      <c r="O34" s="24">
        <f t="shared" si="16"/>
        <v>0.1575339573</v>
      </c>
      <c r="P34" s="24">
        <f t="shared" si="17"/>
        <v>0.1765166222</v>
      </c>
      <c r="Q34" s="24">
        <f t="shared" si="18"/>
        <v>0.2867935955</v>
      </c>
      <c r="S34" s="3">
        <f t="shared" si="19"/>
        <v>0.2177412344</v>
      </c>
      <c r="T34" s="20">
        <f t="shared" si="20"/>
        <v>0.2177412344</v>
      </c>
      <c r="U34" s="3"/>
    </row>
    <row r="35" ht="15.75" customHeight="1">
      <c r="A35" s="23" t="s">
        <v>18</v>
      </c>
      <c r="B35" s="24">
        <f t="shared" ref="B35:E35" si="22">POWER(B26*H26*O26,1/3)</f>
        <v>0.2876847913</v>
      </c>
      <c r="C35" s="24">
        <f t="shared" si="22"/>
        <v>0.1256579069</v>
      </c>
      <c r="D35" s="24">
        <f t="shared" si="22"/>
        <v>0.2</v>
      </c>
      <c r="E35" s="24">
        <f t="shared" si="22"/>
        <v>1</v>
      </c>
      <c r="F35" s="3"/>
      <c r="G35" s="12">
        <v>1.0</v>
      </c>
      <c r="H35" s="12">
        <v>0.05043938553140527</v>
      </c>
      <c r="I35" s="12"/>
      <c r="J35" s="12"/>
      <c r="K35" s="34"/>
      <c r="L35" s="3"/>
      <c r="M35" s="23" t="s">
        <v>18</v>
      </c>
      <c r="N35" s="24">
        <f t="shared" si="15"/>
        <v>0.03959887946</v>
      </c>
      <c r="O35" s="24">
        <f t="shared" si="16"/>
        <v>0.07749632131</v>
      </c>
      <c r="P35" s="24">
        <f t="shared" si="17"/>
        <v>0.03530332445</v>
      </c>
      <c r="Q35" s="24">
        <f t="shared" si="18"/>
        <v>0.05735871911</v>
      </c>
      <c r="S35" s="3">
        <f t="shared" si="19"/>
        <v>0.05243931108</v>
      </c>
      <c r="T35" s="20">
        <f t="shared" si="20"/>
        <v>0.05243931108</v>
      </c>
      <c r="U35" s="3"/>
    </row>
    <row r="36" ht="15.75" customHeight="1"/>
    <row r="37" ht="15.75" customHeight="1">
      <c r="A37" s="14" t="s">
        <v>12</v>
      </c>
      <c r="B37" s="14">
        <f t="shared" ref="B37:E37" si="23">SUM(B32:B36)</f>
        <v>7.26497303</v>
      </c>
      <c r="C37" s="14">
        <f t="shared" si="23"/>
        <v>1.621469313</v>
      </c>
      <c r="D37" s="14">
        <f t="shared" si="23"/>
        <v>5.665188849</v>
      </c>
      <c r="E37" s="14">
        <f t="shared" si="23"/>
        <v>17.43414106</v>
      </c>
      <c r="F37" s="3"/>
      <c r="G37" s="3"/>
      <c r="H37" s="3"/>
      <c r="I37" s="3"/>
      <c r="J37" s="3"/>
      <c r="K37" s="3"/>
      <c r="L37" s="3"/>
      <c r="M37" s="14"/>
      <c r="N37" s="14"/>
      <c r="O37" s="14"/>
      <c r="P37" s="14"/>
      <c r="Q37" s="14"/>
      <c r="R37" s="14"/>
      <c r="S37" s="3"/>
      <c r="T37" s="3"/>
      <c r="U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5" t="s">
        <v>27</v>
      </c>
      <c r="T39" s="36"/>
      <c r="U39" s="3"/>
    </row>
    <row r="40" ht="15.75" customHeight="1">
      <c r="A40" s="37"/>
      <c r="B40" s="37"/>
      <c r="C40" s="37"/>
      <c r="D40" s="3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"/>
    </row>
    <row r="41" ht="15.75" customHeight="1">
      <c r="A41" s="38" t="s">
        <v>6</v>
      </c>
      <c r="B41" s="23" t="s">
        <v>15</v>
      </c>
      <c r="C41" s="23" t="s">
        <v>16</v>
      </c>
      <c r="D41" s="23" t="s">
        <v>17</v>
      </c>
      <c r="E41" s="23" t="s">
        <v>18</v>
      </c>
      <c r="F41" s="36"/>
      <c r="G41" s="38" t="s">
        <v>6</v>
      </c>
      <c r="H41" s="23" t="s">
        <v>15</v>
      </c>
      <c r="I41" s="23" t="s">
        <v>16</v>
      </c>
      <c r="J41" s="23" t="s">
        <v>17</v>
      </c>
      <c r="K41" s="23" t="s">
        <v>18</v>
      </c>
      <c r="L41" s="36"/>
      <c r="M41" s="36"/>
      <c r="N41" s="38" t="s">
        <v>6</v>
      </c>
      <c r="O41" s="23" t="s">
        <v>15</v>
      </c>
      <c r="P41" s="23" t="s">
        <v>16</v>
      </c>
      <c r="Q41" s="23" t="s">
        <v>17</v>
      </c>
      <c r="R41" s="23" t="s">
        <v>18</v>
      </c>
      <c r="T41" s="36"/>
      <c r="U41" s="3"/>
    </row>
    <row r="42" ht="15.75" customHeight="1">
      <c r="A42" s="23" t="s">
        <v>15</v>
      </c>
      <c r="B42" s="24">
        <v>1.0</v>
      </c>
      <c r="C42" s="24">
        <f>1/B43</f>
        <v>2</v>
      </c>
      <c r="D42" s="24">
        <f>1/B44</f>
        <v>3</v>
      </c>
      <c r="E42" s="24">
        <f>1/B45</f>
        <v>5</v>
      </c>
      <c r="F42" s="36"/>
      <c r="G42" s="23" t="s">
        <v>15</v>
      </c>
      <c r="H42" s="24">
        <v>1.0</v>
      </c>
      <c r="I42" s="24">
        <f>1/H43</f>
        <v>5</v>
      </c>
      <c r="J42" s="24">
        <f>1/H44</f>
        <v>2</v>
      </c>
      <c r="K42" s="24">
        <f>1/H45</f>
        <v>5</v>
      </c>
      <c r="L42" s="36"/>
      <c r="M42" s="36"/>
      <c r="N42" s="23" t="s">
        <v>15</v>
      </c>
      <c r="O42" s="24">
        <v>1.0</v>
      </c>
      <c r="P42" s="24">
        <f>1/O43</f>
        <v>3</v>
      </c>
      <c r="Q42" s="24">
        <f>1/O44</f>
        <v>2</v>
      </c>
      <c r="R42" s="24">
        <f>1/O45</f>
        <v>5</v>
      </c>
      <c r="T42" s="36"/>
      <c r="U42" s="3"/>
    </row>
    <row r="43" ht="15.75" customHeight="1">
      <c r="A43" s="23" t="s">
        <v>16</v>
      </c>
      <c r="B43" s="25">
        <f>1/2</f>
        <v>0.5</v>
      </c>
      <c r="C43" s="24">
        <v>1.0</v>
      </c>
      <c r="D43" s="24">
        <f>1/C44</f>
        <v>0.25</v>
      </c>
      <c r="E43" s="25">
        <f>1/C45</f>
        <v>3</v>
      </c>
      <c r="F43" s="36"/>
      <c r="G43" s="23" t="s">
        <v>16</v>
      </c>
      <c r="H43" s="25">
        <f>1/5</f>
        <v>0.2</v>
      </c>
      <c r="I43" s="24">
        <v>1.0</v>
      </c>
      <c r="J43" s="24">
        <f>1/I44</f>
        <v>0.3333333333</v>
      </c>
      <c r="K43" s="25">
        <f>1/I45</f>
        <v>4</v>
      </c>
      <c r="L43" s="36"/>
      <c r="M43" s="36"/>
      <c r="N43" s="23" t="s">
        <v>16</v>
      </c>
      <c r="O43" s="25">
        <f>1/3</f>
        <v>0.3333333333</v>
      </c>
      <c r="P43" s="24">
        <v>1.0</v>
      </c>
      <c r="Q43" s="24">
        <f>1/P44</f>
        <v>0.5</v>
      </c>
      <c r="R43" s="25">
        <f>1/P45</f>
        <v>3</v>
      </c>
      <c r="T43" s="36"/>
      <c r="U43" s="3"/>
    </row>
    <row r="44" ht="15.75" customHeight="1">
      <c r="A44" s="23" t="s">
        <v>17</v>
      </c>
      <c r="B44" s="25">
        <f>1/3</f>
        <v>0.3333333333</v>
      </c>
      <c r="C44" s="25">
        <v>4.0</v>
      </c>
      <c r="D44" s="24">
        <v>1.0</v>
      </c>
      <c r="E44" s="24">
        <f>1/D45</f>
        <v>5</v>
      </c>
      <c r="F44" s="36"/>
      <c r="G44" s="23" t="s">
        <v>17</v>
      </c>
      <c r="H44" s="25">
        <f>1/2</f>
        <v>0.5</v>
      </c>
      <c r="I44" s="25">
        <v>3.0</v>
      </c>
      <c r="J44" s="24">
        <v>1.0</v>
      </c>
      <c r="K44" s="24">
        <f>1/J45</f>
        <v>4</v>
      </c>
      <c r="L44" s="36"/>
      <c r="M44" s="36"/>
      <c r="N44" s="23" t="s">
        <v>17</v>
      </c>
      <c r="O44" s="25">
        <f>1/2</f>
        <v>0.5</v>
      </c>
      <c r="P44" s="25">
        <f>2</f>
        <v>2</v>
      </c>
      <c r="Q44" s="24">
        <v>1.0</v>
      </c>
      <c r="R44" s="24">
        <f>1/Q45</f>
        <v>4</v>
      </c>
      <c r="T44" s="36"/>
      <c r="U44" s="3"/>
    </row>
    <row r="45" ht="15.75" customHeight="1">
      <c r="A45" s="23" t="s">
        <v>18</v>
      </c>
      <c r="B45" s="25">
        <v>0.2</v>
      </c>
      <c r="C45" s="25">
        <f>1/3</f>
        <v>0.3333333333</v>
      </c>
      <c r="D45" s="25">
        <f>1/5</f>
        <v>0.2</v>
      </c>
      <c r="E45" s="24">
        <v>1.0</v>
      </c>
      <c r="F45" s="36"/>
      <c r="G45" s="23" t="s">
        <v>18</v>
      </c>
      <c r="H45" s="25">
        <v>0.2</v>
      </c>
      <c r="I45" s="25">
        <f t="shared" ref="I45:J45" si="24">1/4</f>
        <v>0.25</v>
      </c>
      <c r="J45" s="25">
        <f t="shared" si="24"/>
        <v>0.25</v>
      </c>
      <c r="K45" s="24">
        <v>1.0</v>
      </c>
      <c r="L45" s="36"/>
      <c r="M45" s="36"/>
      <c r="N45" s="23" t="s">
        <v>18</v>
      </c>
      <c r="O45" s="25">
        <v>0.2</v>
      </c>
      <c r="P45" s="25">
        <f>1/3</f>
        <v>0.3333333333</v>
      </c>
      <c r="Q45" s="25">
        <f>1/4</f>
        <v>0.25</v>
      </c>
      <c r="R45" s="24">
        <v>1.0</v>
      </c>
      <c r="T45" s="36"/>
      <c r="U45" s="3"/>
    </row>
    <row r="46" ht="15.75" customHeight="1"/>
    <row r="47" ht="15.75" customHeight="1">
      <c r="A47" s="36"/>
      <c r="B47" s="36"/>
      <c r="C47" s="36"/>
      <c r="D47" s="36"/>
      <c r="E47" s="36"/>
      <c r="F47" s="36"/>
      <c r="G47" s="37"/>
      <c r="H47" s="37"/>
      <c r="I47" s="37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"/>
    </row>
    <row r="48" ht="15.75" customHeight="1">
      <c r="A48" s="35" t="s">
        <v>28</v>
      </c>
      <c r="T48" s="36"/>
      <c r="U48" s="3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"/>
      <c r="S49" s="36"/>
      <c r="T49" s="36"/>
      <c r="U49" s="3"/>
    </row>
    <row r="50" ht="15.75" customHeight="1">
      <c r="A50" s="39" t="s">
        <v>6</v>
      </c>
      <c r="B50" s="23" t="s">
        <v>15</v>
      </c>
      <c r="C50" s="23" t="s">
        <v>16</v>
      </c>
      <c r="D50" s="23" t="s">
        <v>17</v>
      </c>
      <c r="E50" s="23" t="s">
        <v>18</v>
      </c>
      <c r="F50" s="36"/>
      <c r="G50" s="40" t="s">
        <v>21</v>
      </c>
      <c r="H50" s="40" t="s">
        <v>22</v>
      </c>
      <c r="I50" s="41" t="s">
        <v>23</v>
      </c>
      <c r="J50" s="40" t="s">
        <v>24</v>
      </c>
      <c r="K50" s="29" t="s">
        <v>25</v>
      </c>
      <c r="L50" s="36"/>
      <c r="M50" s="16" t="s">
        <v>26</v>
      </c>
      <c r="N50" s="23" t="s">
        <v>15</v>
      </c>
      <c r="O50" s="23" t="s">
        <v>16</v>
      </c>
      <c r="P50" s="23" t="s">
        <v>17</v>
      </c>
      <c r="Q50" s="23" t="s">
        <v>18</v>
      </c>
      <c r="R50" s="3"/>
      <c r="S50" s="18" t="s">
        <v>10</v>
      </c>
      <c r="T50" s="18" t="s">
        <v>11</v>
      </c>
      <c r="U50" s="3"/>
    </row>
    <row r="51" ht="15.75" customHeight="1">
      <c r="A51" s="23" t="s">
        <v>15</v>
      </c>
      <c r="B51" s="42">
        <f t="shared" ref="B51:E51" si="25">POWER(B42*H42*O42,1/3)</f>
        <v>1</v>
      </c>
      <c r="C51" s="42">
        <f t="shared" si="25"/>
        <v>3.107232506</v>
      </c>
      <c r="D51" s="42">
        <f t="shared" si="25"/>
        <v>2.289428485</v>
      </c>
      <c r="E51" s="42">
        <f t="shared" si="25"/>
        <v>5</v>
      </c>
      <c r="F51" s="36"/>
      <c r="G51" s="43">
        <v>1.0</v>
      </c>
      <c r="H51" s="43">
        <f t="array" ref="H51:H54">MMULT(B51:E54,G51:G54)/MMULT(TRANSPOSE(G51:G54),MMULT(B51:E54,G51:G54))</f>
        <v>0.4263272431</v>
      </c>
      <c r="I51" s="43">
        <f t="array" ref="I51">MMULT(TRANSPOSE(G51:G54),MMULT(B51:E54,H51:H54))</f>
        <v>4.323473221</v>
      </c>
      <c r="J51" s="43">
        <f>(I51-T3)/(T3-1)</f>
        <v>0.1078244071</v>
      </c>
      <c r="K51" s="33">
        <f>J51/U3</f>
        <v>0.1198048968</v>
      </c>
      <c r="L51" s="36"/>
      <c r="M51" s="23" t="s">
        <v>15</v>
      </c>
      <c r="N51" s="42">
        <f t="shared" ref="N51:N54" si="27">B51/$B$37</f>
        <v>0.1376467601</v>
      </c>
      <c r="O51" s="42">
        <f t="shared" ref="O51:O54" si="28">C51/$C$37</f>
        <v>1.916306699</v>
      </c>
      <c r="P51" s="42">
        <f t="shared" ref="P51:P54" si="29">D51/$D$37</f>
        <v>0.404122183</v>
      </c>
      <c r="Q51" s="42">
        <f t="shared" ref="Q51:Q54" si="30">E51/$E$37</f>
        <v>0.2867935955</v>
      </c>
      <c r="R51" s="3"/>
      <c r="S51" s="3">
        <f t="shared" ref="S51:S54" si="31">AVERAGE(N51:R51)</f>
        <v>0.6862173094</v>
      </c>
      <c r="T51" s="20">
        <f t="shared" ref="T51:T54" si="32">AVERAGE(N51:R51)</f>
        <v>0.6862173094</v>
      </c>
      <c r="U51" s="3"/>
    </row>
    <row r="52" ht="15.75" customHeight="1">
      <c r="A52" s="23" t="s">
        <v>16</v>
      </c>
      <c r="B52" s="42">
        <f t="shared" ref="B52:E52" si="26">POWER(B43*H43*O43,1/3)</f>
        <v>0.3218297949</v>
      </c>
      <c r="C52" s="42">
        <f t="shared" si="26"/>
        <v>1</v>
      </c>
      <c r="D52" s="42">
        <f t="shared" si="26"/>
        <v>0.3466806372</v>
      </c>
      <c r="E52" s="42">
        <f t="shared" si="26"/>
        <v>3.301927249</v>
      </c>
      <c r="F52" s="36"/>
      <c r="G52" s="43">
        <v>1.0</v>
      </c>
      <c r="H52" s="43">
        <v>0.1859345465287036</v>
      </c>
      <c r="I52" s="44"/>
      <c r="J52" s="44"/>
      <c r="K52" s="44"/>
      <c r="L52" s="36"/>
      <c r="M52" s="23" t="s">
        <v>16</v>
      </c>
      <c r="N52" s="42">
        <f t="shared" si="27"/>
        <v>0.04429882857</v>
      </c>
      <c r="O52" s="42">
        <f t="shared" si="28"/>
        <v>0.6167245918</v>
      </c>
      <c r="P52" s="42">
        <f t="shared" si="29"/>
        <v>0.06119489507</v>
      </c>
      <c r="Q52" s="42">
        <f t="shared" si="30"/>
        <v>0.1893943176</v>
      </c>
      <c r="R52" s="3"/>
      <c r="S52" s="3">
        <f t="shared" si="31"/>
        <v>0.2279031583</v>
      </c>
      <c r="T52" s="20">
        <f t="shared" si="32"/>
        <v>0.2279031583</v>
      </c>
      <c r="U52" s="3"/>
    </row>
    <row r="53" ht="15.75" customHeight="1">
      <c r="A53" s="23" t="s">
        <v>17</v>
      </c>
      <c r="B53" s="42">
        <f t="shared" ref="B53:E53" si="33">POWER(B44*H44*O44,1/3)</f>
        <v>0.4367902324</v>
      </c>
      <c r="C53" s="42">
        <f t="shared" si="33"/>
        <v>2.884499141</v>
      </c>
      <c r="D53" s="42">
        <f t="shared" si="33"/>
        <v>1</v>
      </c>
      <c r="E53" s="42">
        <f t="shared" si="33"/>
        <v>4.30886938</v>
      </c>
      <c r="F53" s="36"/>
      <c r="G53" s="43">
        <v>1.0</v>
      </c>
      <c r="H53" s="43">
        <v>0.3228376970447173</v>
      </c>
      <c r="I53" s="44"/>
      <c r="J53" s="44"/>
      <c r="K53" s="44"/>
      <c r="L53" s="36"/>
      <c r="M53" s="23" t="s">
        <v>17</v>
      </c>
      <c r="N53" s="42">
        <f t="shared" si="27"/>
        <v>0.06012276034</v>
      </c>
      <c r="O53" s="42">
        <f t="shared" si="28"/>
        <v>1.778941555</v>
      </c>
      <c r="P53" s="42">
        <f t="shared" si="29"/>
        <v>0.1765166222</v>
      </c>
      <c r="Q53" s="42">
        <f t="shared" si="30"/>
        <v>0.2471512284</v>
      </c>
      <c r="R53" s="3"/>
      <c r="S53" s="3">
        <f t="shared" si="31"/>
        <v>0.5656830415</v>
      </c>
      <c r="T53" s="20">
        <f t="shared" si="32"/>
        <v>0.5656830415</v>
      </c>
      <c r="U53" s="3"/>
    </row>
    <row r="54" ht="15.75" customHeight="1">
      <c r="A54" s="23" t="s">
        <v>18</v>
      </c>
      <c r="B54" s="42">
        <f t="shared" ref="B54:E54" si="34">POWER(B45*H45*O45,1/3)</f>
        <v>0.2</v>
      </c>
      <c r="C54" s="42">
        <f t="shared" si="34"/>
        <v>0.3028534321</v>
      </c>
      <c r="D54" s="42">
        <f t="shared" si="34"/>
        <v>0.2320794417</v>
      </c>
      <c r="E54" s="42">
        <f t="shared" si="34"/>
        <v>1</v>
      </c>
      <c r="F54" s="36"/>
      <c r="G54" s="43">
        <v>1.0</v>
      </c>
      <c r="H54" s="43">
        <v>0.06490051336694945</v>
      </c>
      <c r="I54" s="44"/>
      <c r="J54" s="44"/>
      <c r="K54" s="44"/>
      <c r="L54" s="36"/>
      <c r="M54" s="23" t="s">
        <v>18</v>
      </c>
      <c r="N54" s="42">
        <f t="shared" si="27"/>
        <v>0.02752935202</v>
      </c>
      <c r="O54" s="42">
        <f t="shared" si="28"/>
        <v>0.1867771593</v>
      </c>
      <c r="P54" s="42">
        <f t="shared" si="29"/>
        <v>0.04096587914</v>
      </c>
      <c r="Q54" s="42">
        <f t="shared" si="30"/>
        <v>0.05735871911</v>
      </c>
      <c r="R54" s="3"/>
      <c r="S54" s="3">
        <f t="shared" si="31"/>
        <v>0.0781577774</v>
      </c>
      <c r="T54" s="20">
        <f t="shared" si="32"/>
        <v>0.0781577774</v>
      </c>
      <c r="U54" s="3"/>
    </row>
    <row r="55" ht="15.75" customHeight="1">
      <c r="R55" s="3"/>
    </row>
    <row r="56" ht="15.75" customHeight="1">
      <c r="A56" s="14" t="s">
        <v>12</v>
      </c>
      <c r="B56" s="14">
        <f t="shared" ref="B56:E56" si="35">SUM(B51:B55)</f>
        <v>1.958620027</v>
      </c>
      <c r="C56" s="14">
        <f t="shared" si="35"/>
        <v>7.294585079</v>
      </c>
      <c r="D56" s="14">
        <f t="shared" si="35"/>
        <v>3.868188564</v>
      </c>
      <c r="E56" s="14">
        <f t="shared" si="35"/>
        <v>13.61079663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45" t="s">
        <v>29</v>
      </c>
      <c r="T58" s="36"/>
      <c r="U58" s="3"/>
    </row>
    <row r="59" ht="15.75" customHeight="1">
      <c r="A59" s="37"/>
      <c r="B59" s="37"/>
      <c r="C59" s="37"/>
      <c r="D59" s="3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"/>
    </row>
    <row r="60" ht="15.75" customHeight="1">
      <c r="A60" s="22" t="s">
        <v>7</v>
      </c>
      <c r="B60" s="23" t="s">
        <v>15</v>
      </c>
      <c r="C60" s="23" t="s">
        <v>16</v>
      </c>
      <c r="D60" s="23" t="s">
        <v>17</v>
      </c>
      <c r="E60" s="23" t="s">
        <v>18</v>
      </c>
      <c r="F60" s="36"/>
      <c r="G60" s="22" t="s">
        <v>7</v>
      </c>
      <c r="H60" s="23" t="s">
        <v>15</v>
      </c>
      <c r="I60" s="23" t="s">
        <v>16</v>
      </c>
      <c r="J60" s="23" t="s">
        <v>17</v>
      </c>
      <c r="K60" s="23" t="s">
        <v>18</v>
      </c>
      <c r="L60" s="36"/>
      <c r="M60" s="36"/>
      <c r="N60" s="22" t="s">
        <v>7</v>
      </c>
      <c r="O60" s="23" t="s">
        <v>15</v>
      </c>
      <c r="P60" s="23" t="s">
        <v>16</v>
      </c>
      <c r="Q60" s="23" t="s">
        <v>17</v>
      </c>
      <c r="R60" s="23" t="s">
        <v>18</v>
      </c>
      <c r="T60" s="36"/>
      <c r="U60" s="3"/>
    </row>
    <row r="61" ht="15.75" customHeight="1">
      <c r="A61" s="23" t="s">
        <v>15</v>
      </c>
      <c r="B61" s="24">
        <v>1.0</v>
      </c>
      <c r="C61" s="24">
        <f>1/B62</f>
        <v>0.5</v>
      </c>
      <c r="D61" s="24">
        <f>1/B63</f>
        <v>3</v>
      </c>
      <c r="E61" s="24">
        <f>1/B64</f>
        <v>2</v>
      </c>
      <c r="F61" s="36"/>
      <c r="G61" s="23" t="s">
        <v>15</v>
      </c>
      <c r="H61" s="24">
        <v>1.0</v>
      </c>
      <c r="I61" s="24">
        <f>1/H62</f>
        <v>0.3333333333</v>
      </c>
      <c r="J61" s="24">
        <f>1/H63</f>
        <v>2</v>
      </c>
      <c r="K61" s="24">
        <f>1/H64</f>
        <v>2</v>
      </c>
      <c r="L61" s="36"/>
      <c r="M61" s="36"/>
      <c r="N61" s="23" t="s">
        <v>15</v>
      </c>
      <c r="O61" s="24">
        <v>1.0</v>
      </c>
      <c r="P61" s="24">
        <f>1/O62</f>
        <v>0.5</v>
      </c>
      <c r="Q61" s="24">
        <f>1/O63</f>
        <v>4</v>
      </c>
      <c r="R61" s="24">
        <f>1/O64</f>
        <v>2</v>
      </c>
      <c r="T61" s="36"/>
      <c r="U61" s="3"/>
    </row>
    <row r="62" ht="15.75" customHeight="1">
      <c r="A62" s="23" t="s">
        <v>16</v>
      </c>
      <c r="B62" s="25">
        <v>2.0</v>
      </c>
      <c r="C62" s="24">
        <v>1.0</v>
      </c>
      <c r="D62" s="24">
        <f>1/C63</f>
        <v>6</v>
      </c>
      <c r="E62" s="25">
        <f>1/C64</f>
        <v>5</v>
      </c>
      <c r="F62" s="36"/>
      <c r="G62" s="23" t="s">
        <v>16</v>
      </c>
      <c r="H62" s="25">
        <v>3.0</v>
      </c>
      <c r="I62" s="24">
        <v>1.0</v>
      </c>
      <c r="J62" s="24">
        <f>1/I63</f>
        <v>7</v>
      </c>
      <c r="K62" s="25">
        <f>1/I64</f>
        <v>8</v>
      </c>
      <c r="L62" s="36"/>
      <c r="M62" s="36"/>
      <c r="N62" s="23" t="s">
        <v>16</v>
      </c>
      <c r="O62" s="25">
        <v>2.0</v>
      </c>
      <c r="P62" s="24">
        <v>1.0</v>
      </c>
      <c r="Q62" s="24">
        <f>1/P63</f>
        <v>8</v>
      </c>
      <c r="R62" s="25">
        <f>1/P64</f>
        <v>6</v>
      </c>
      <c r="T62" s="36"/>
      <c r="U62" s="3"/>
    </row>
    <row r="63" ht="15.75" customHeight="1">
      <c r="A63" s="23" t="s">
        <v>17</v>
      </c>
      <c r="B63" s="24">
        <f>1/3</f>
        <v>0.3333333333</v>
      </c>
      <c r="C63" s="25">
        <f>1/6</f>
        <v>0.1666666667</v>
      </c>
      <c r="D63" s="24">
        <v>1.0</v>
      </c>
      <c r="E63" s="24">
        <f>1/D64</f>
        <v>0.3333333333</v>
      </c>
      <c r="F63" s="36"/>
      <c r="G63" s="23" t="s">
        <v>17</v>
      </c>
      <c r="H63" s="24">
        <f>1/2</f>
        <v>0.5</v>
      </c>
      <c r="I63" s="25">
        <f>1/7</f>
        <v>0.1428571429</v>
      </c>
      <c r="J63" s="24">
        <v>1.0</v>
      </c>
      <c r="K63" s="24">
        <f>1/J64</f>
        <v>0.5</v>
      </c>
      <c r="L63" s="36"/>
      <c r="M63" s="36"/>
      <c r="N63" s="23" t="s">
        <v>17</v>
      </c>
      <c r="O63" s="24">
        <f>1/4</f>
        <v>0.25</v>
      </c>
      <c r="P63" s="25">
        <f>1/8</f>
        <v>0.125</v>
      </c>
      <c r="Q63" s="24">
        <v>1.0</v>
      </c>
      <c r="R63" s="24">
        <f>1/Q64</f>
        <v>0.5</v>
      </c>
      <c r="T63" s="36"/>
      <c r="U63" s="3"/>
    </row>
    <row r="64" ht="15.75" customHeight="1">
      <c r="A64" s="23" t="s">
        <v>18</v>
      </c>
      <c r="B64" s="25">
        <v>0.5</v>
      </c>
      <c r="C64" s="25">
        <f>1/5</f>
        <v>0.2</v>
      </c>
      <c r="D64" s="25">
        <v>3.0</v>
      </c>
      <c r="E64" s="24">
        <v>1.0</v>
      </c>
      <c r="F64" s="36"/>
      <c r="G64" s="23" t="s">
        <v>18</v>
      </c>
      <c r="H64" s="25">
        <v>0.5</v>
      </c>
      <c r="I64" s="25">
        <f>1/8</f>
        <v>0.125</v>
      </c>
      <c r="J64" s="25">
        <v>2.0</v>
      </c>
      <c r="K64" s="24">
        <v>1.0</v>
      </c>
      <c r="L64" s="36"/>
      <c r="M64" s="36"/>
      <c r="N64" s="23" t="s">
        <v>18</v>
      </c>
      <c r="O64" s="25">
        <v>0.5</v>
      </c>
      <c r="P64" s="25">
        <f>1/6</f>
        <v>0.1666666667</v>
      </c>
      <c r="Q64" s="25">
        <v>2.0</v>
      </c>
      <c r="R64" s="24">
        <v>1.0</v>
      </c>
      <c r="T64" s="36"/>
      <c r="U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6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6"/>
      <c r="B66" s="36"/>
      <c r="C66" s="36"/>
      <c r="D66" s="36"/>
      <c r="E66" s="36"/>
      <c r="F66" s="36"/>
      <c r="G66" s="37"/>
      <c r="H66" s="37"/>
      <c r="I66" s="37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"/>
    </row>
    <row r="67" ht="15.75" customHeight="1">
      <c r="A67" s="45" t="s">
        <v>30</v>
      </c>
      <c r="T67" s="36"/>
      <c r="U67" s="3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"/>
    </row>
    <row r="69" ht="15.75" customHeight="1">
      <c r="A69" s="26" t="s">
        <v>7</v>
      </c>
      <c r="B69" s="23" t="s">
        <v>15</v>
      </c>
      <c r="C69" s="23" t="s">
        <v>16</v>
      </c>
      <c r="D69" s="23" t="s">
        <v>17</v>
      </c>
      <c r="E69" s="23" t="s">
        <v>18</v>
      </c>
      <c r="F69" s="36"/>
      <c r="G69" s="40" t="s">
        <v>21</v>
      </c>
      <c r="H69" s="40" t="s">
        <v>22</v>
      </c>
      <c r="I69" s="41" t="s">
        <v>23</v>
      </c>
      <c r="J69" s="40" t="s">
        <v>24</v>
      </c>
      <c r="K69" s="29" t="s">
        <v>25</v>
      </c>
      <c r="L69" s="36"/>
      <c r="M69" s="16" t="s">
        <v>26</v>
      </c>
      <c r="N69" s="23" t="s">
        <v>15</v>
      </c>
      <c r="O69" s="23" t="s">
        <v>16</v>
      </c>
      <c r="P69" s="23" t="s">
        <v>17</v>
      </c>
      <c r="Q69" s="23" t="s">
        <v>18</v>
      </c>
      <c r="S69" s="18" t="s">
        <v>10</v>
      </c>
      <c r="T69" s="18" t="s">
        <v>11</v>
      </c>
      <c r="U69" s="3"/>
    </row>
    <row r="70" ht="15.75" customHeight="1">
      <c r="A70" s="23" t="s">
        <v>15</v>
      </c>
      <c r="B70" s="42">
        <f t="shared" ref="B70:E70" si="36">POWER(B61*H61*O61,1/3)</f>
        <v>1</v>
      </c>
      <c r="C70" s="42">
        <f t="shared" si="36"/>
        <v>0.4367902324</v>
      </c>
      <c r="D70" s="42">
        <f t="shared" si="36"/>
        <v>2.884499141</v>
      </c>
      <c r="E70" s="42">
        <f t="shared" si="36"/>
        <v>2</v>
      </c>
      <c r="F70" s="36"/>
      <c r="G70" s="43">
        <v>1.0</v>
      </c>
      <c r="H70" s="43">
        <f t="array" ref="H70:H73">MMULT(B70:E73,G70:G73)/MMULT(TRANSPOSE(G70:G73),MMULT(B70:E73,G70:G73))</f>
        <v>0.2206006986</v>
      </c>
      <c r="I70" s="43">
        <f t="array" ref="I70">MMULT(TRANSPOSE(G70:G73),MMULT(B70:E73,H70:H73))</f>
        <v>4.125927333</v>
      </c>
      <c r="J70" s="43">
        <f>(I70-T3)/(T3-1)</f>
        <v>0.04197577781</v>
      </c>
      <c r="K70" s="33">
        <f>J70/U3</f>
        <v>0.04663975312</v>
      </c>
      <c r="L70" s="36"/>
      <c r="M70" s="23" t="s">
        <v>15</v>
      </c>
      <c r="N70" s="42">
        <f t="shared" ref="N70:N73" si="38">B70/$B$37</f>
        <v>0.1376467601</v>
      </c>
      <c r="O70" s="42">
        <f t="shared" ref="O70:O73" si="39">C70/$C$37</f>
        <v>0.2693792778</v>
      </c>
      <c r="P70" s="42">
        <f t="shared" ref="P70:P73" si="40">D70/$D$37</f>
        <v>0.5091620451</v>
      </c>
      <c r="Q70" s="42">
        <f t="shared" ref="Q70:Q73" si="41">E70/$E$37</f>
        <v>0.1147174382</v>
      </c>
      <c r="S70" s="3">
        <f t="shared" ref="S70:S73" si="42">AVERAGE(N70:R70)</f>
        <v>0.2577263803</v>
      </c>
      <c r="T70" s="20">
        <f t="shared" ref="T70:T73" si="43">AVERAGE(N70:R70)</f>
        <v>0.2577263803</v>
      </c>
      <c r="U70" s="3"/>
    </row>
    <row r="71" ht="15.75" customHeight="1">
      <c r="A71" s="23" t="s">
        <v>16</v>
      </c>
      <c r="B71" s="42">
        <f t="shared" ref="B71:E71" si="37">POWER(B62*H62*O62,1/3)</f>
        <v>2.289428485</v>
      </c>
      <c r="C71" s="42">
        <f t="shared" si="37"/>
        <v>1</v>
      </c>
      <c r="D71" s="42">
        <f t="shared" si="37"/>
        <v>6.95205329</v>
      </c>
      <c r="E71" s="42">
        <f t="shared" si="37"/>
        <v>6.214465012</v>
      </c>
      <c r="F71" s="36"/>
      <c r="G71" s="43">
        <v>1.0</v>
      </c>
      <c r="H71" s="43">
        <v>0.5742805215613371</v>
      </c>
      <c r="I71" s="44"/>
      <c r="J71" s="44"/>
      <c r="K71" s="44"/>
      <c r="L71" s="36"/>
      <c r="M71" s="23" t="s">
        <v>16</v>
      </c>
      <c r="N71" s="42">
        <f t="shared" si="38"/>
        <v>0.3151324135</v>
      </c>
      <c r="O71" s="42">
        <f t="shared" si="39"/>
        <v>0.6167245918</v>
      </c>
      <c r="P71" s="42">
        <f t="shared" si="40"/>
        <v>1.227152964</v>
      </c>
      <c r="Q71" s="42">
        <f t="shared" si="41"/>
        <v>0.356453753</v>
      </c>
      <c r="S71" s="3">
        <f t="shared" si="42"/>
        <v>0.6288659307</v>
      </c>
      <c r="T71" s="20">
        <f t="shared" si="43"/>
        <v>0.6288659307</v>
      </c>
      <c r="U71" s="3"/>
    </row>
    <row r="72" ht="15.75" customHeight="1">
      <c r="A72" s="23" t="s">
        <v>17</v>
      </c>
      <c r="B72" s="42">
        <f t="shared" ref="B72:E72" si="44">POWER(B63*H63*O63,1/3)</f>
        <v>0.3466806372</v>
      </c>
      <c r="C72" s="42">
        <f t="shared" si="44"/>
        <v>0.1438423957</v>
      </c>
      <c r="D72" s="42">
        <f t="shared" si="44"/>
        <v>1</v>
      </c>
      <c r="E72" s="42">
        <f t="shared" si="44"/>
        <v>0.4367902324</v>
      </c>
      <c r="F72" s="36"/>
      <c r="G72" s="43">
        <v>1.0</v>
      </c>
      <c r="H72" s="43">
        <v>0.06725948263550355</v>
      </c>
      <c r="I72" s="44"/>
      <c r="J72" s="44"/>
      <c r="K72" s="44"/>
      <c r="L72" s="36"/>
      <c r="M72" s="23" t="s">
        <v>17</v>
      </c>
      <c r="N72" s="42">
        <f t="shared" si="38"/>
        <v>0.0477194665</v>
      </c>
      <c r="O72" s="42">
        <f t="shared" si="39"/>
        <v>0.08871114275</v>
      </c>
      <c r="P72" s="42">
        <f t="shared" si="40"/>
        <v>0.1765166222</v>
      </c>
      <c r="Q72" s="42">
        <f t="shared" si="41"/>
        <v>0.02505372825</v>
      </c>
      <c r="S72" s="3">
        <f t="shared" si="42"/>
        <v>0.08450023993</v>
      </c>
      <c r="T72" s="20">
        <f t="shared" si="43"/>
        <v>0.08450023993</v>
      </c>
      <c r="U72" s="3"/>
    </row>
    <row r="73" ht="15.75" customHeight="1">
      <c r="A73" s="23" t="s">
        <v>18</v>
      </c>
      <c r="B73" s="42">
        <f t="shared" ref="B73:E73" si="45">POWER(B64*H64*O64,1/3)</f>
        <v>0.5</v>
      </c>
      <c r="C73" s="42">
        <f t="shared" si="45"/>
        <v>0.1609148974</v>
      </c>
      <c r="D73" s="42">
        <f t="shared" si="45"/>
        <v>2.289428485</v>
      </c>
      <c r="E73" s="42">
        <f t="shared" si="45"/>
        <v>1</v>
      </c>
      <c r="F73" s="36"/>
      <c r="G73" s="43">
        <v>1.0</v>
      </c>
      <c r="H73" s="43">
        <v>0.13785929715654413</v>
      </c>
      <c r="I73" s="44"/>
      <c r="J73" s="44"/>
      <c r="K73" s="44"/>
      <c r="L73" s="36"/>
      <c r="M73" s="23" t="s">
        <v>18</v>
      </c>
      <c r="N73" s="42">
        <f t="shared" si="38"/>
        <v>0.06882338006</v>
      </c>
      <c r="O73" s="42">
        <f t="shared" si="39"/>
        <v>0.09924017444</v>
      </c>
      <c r="P73" s="42">
        <f t="shared" si="40"/>
        <v>0.404122183</v>
      </c>
      <c r="Q73" s="42">
        <f t="shared" si="41"/>
        <v>0.05735871911</v>
      </c>
      <c r="S73" s="3">
        <f t="shared" si="42"/>
        <v>0.1573861142</v>
      </c>
      <c r="T73" s="20">
        <f t="shared" si="43"/>
        <v>0.1573861142</v>
      </c>
      <c r="U73" s="3"/>
    </row>
    <row r="74" ht="15.75" customHeight="1"/>
    <row r="75" ht="15.75" customHeight="1">
      <c r="A75" s="14" t="s">
        <v>12</v>
      </c>
      <c r="B75" s="14">
        <f t="shared" ref="B75:E75" si="46">SUM(B70:B74)</f>
        <v>4.136109122</v>
      </c>
      <c r="C75" s="14">
        <f t="shared" si="46"/>
        <v>1.741547525</v>
      </c>
      <c r="D75" s="14">
        <f t="shared" si="46"/>
        <v>13.12598092</v>
      </c>
      <c r="E75" s="14">
        <f t="shared" si="46"/>
        <v>9.651255244</v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46" t="s">
        <v>31</v>
      </c>
      <c r="T77" s="36"/>
      <c r="U77" s="3"/>
    </row>
    <row r="78" ht="15.75" customHeight="1">
      <c r="A78" s="37"/>
      <c r="B78" s="37"/>
      <c r="C78" s="37"/>
      <c r="D78" s="37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"/>
    </row>
    <row r="79" ht="15.75" customHeight="1">
      <c r="A79" s="22" t="s">
        <v>8</v>
      </c>
      <c r="B79" s="23" t="s">
        <v>15</v>
      </c>
      <c r="C79" s="23" t="s">
        <v>16</v>
      </c>
      <c r="D79" s="23" t="s">
        <v>17</v>
      </c>
      <c r="E79" s="23" t="s">
        <v>18</v>
      </c>
      <c r="F79" s="36"/>
      <c r="G79" s="22" t="s">
        <v>8</v>
      </c>
      <c r="H79" s="23" t="s">
        <v>15</v>
      </c>
      <c r="I79" s="23" t="s">
        <v>16</v>
      </c>
      <c r="J79" s="23" t="s">
        <v>17</v>
      </c>
      <c r="K79" s="23" t="s">
        <v>18</v>
      </c>
      <c r="M79" s="36"/>
      <c r="N79" s="22" t="s">
        <v>8</v>
      </c>
      <c r="O79" s="23" t="s">
        <v>15</v>
      </c>
      <c r="P79" s="23" t="s">
        <v>16</v>
      </c>
      <c r="Q79" s="23" t="s">
        <v>17</v>
      </c>
      <c r="R79" s="23" t="s">
        <v>18</v>
      </c>
      <c r="T79" s="36"/>
      <c r="U79" s="3"/>
    </row>
    <row r="80" ht="15.75" customHeight="1">
      <c r="A80" s="23" t="s">
        <v>15</v>
      </c>
      <c r="B80" s="24">
        <v>1.0</v>
      </c>
      <c r="C80" s="24">
        <f>1/B81</f>
        <v>3</v>
      </c>
      <c r="D80" s="24">
        <f>1/B82</f>
        <v>1.5</v>
      </c>
      <c r="E80" s="24">
        <f>1/B83</f>
        <v>4</v>
      </c>
      <c r="F80" s="36"/>
      <c r="G80" s="23" t="s">
        <v>15</v>
      </c>
      <c r="H80" s="24">
        <v>1.0</v>
      </c>
      <c r="I80" s="24">
        <f>1/H81</f>
        <v>2</v>
      </c>
      <c r="J80" s="24">
        <f>1/H82</f>
        <v>5</v>
      </c>
      <c r="K80" s="24">
        <f>1/H83</f>
        <v>4</v>
      </c>
      <c r="M80" s="36"/>
      <c r="N80" s="23" t="s">
        <v>15</v>
      </c>
      <c r="O80" s="24">
        <v>1.0</v>
      </c>
      <c r="P80" s="24">
        <f>1/O81</f>
        <v>2</v>
      </c>
      <c r="Q80" s="24">
        <f>1/O82</f>
        <v>7</v>
      </c>
      <c r="R80" s="24">
        <f>1/O83</f>
        <v>5</v>
      </c>
      <c r="T80" s="36"/>
      <c r="U80" s="3"/>
    </row>
    <row r="81" ht="15.75" customHeight="1">
      <c r="A81" s="23" t="s">
        <v>16</v>
      </c>
      <c r="B81" s="25">
        <f>1/3</f>
        <v>0.3333333333</v>
      </c>
      <c r="C81" s="24">
        <v>1.0</v>
      </c>
      <c r="D81" s="24">
        <f>1/C82</f>
        <v>5</v>
      </c>
      <c r="E81" s="25">
        <f>1/C83</f>
        <v>2</v>
      </c>
      <c r="F81" s="36"/>
      <c r="G81" s="23" t="s">
        <v>16</v>
      </c>
      <c r="H81" s="25">
        <f>1/2</f>
        <v>0.5</v>
      </c>
      <c r="I81" s="24">
        <v>1.0</v>
      </c>
      <c r="J81" s="24">
        <f>1/I82</f>
        <v>5</v>
      </c>
      <c r="K81" s="25">
        <f>1/I83</f>
        <v>2</v>
      </c>
      <c r="M81" s="36"/>
      <c r="N81" s="23" t="s">
        <v>16</v>
      </c>
      <c r="O81" s="25">
        <f>1/2</f>
        <v>0.5</v>
      </c>
      <c r="P81" s="24">
        <v>1.0</v>
      </c>
      <c r="Q81" s="24">
        <f>1/P82</f>
        <v>5</v>
      </c>
      <c r="R81" s="25">
        <f>1/P83</f>
        <v>2</v>
      </c>
      <c r="T81" s="36"/>
      <c r="U81" s="3"/>
    </row>
    <row r="82" ht="15.75" customHeight="1">
      <c r="A82" s="23" t="s">
        <v>17</v>
      </c>
      <c r="B82" s="25">
        <f>1/1.5</f>
        <v>0.6666666667</v>
      </c>
      <c r="C82" s="24">
        <f>1/5</f>
        <v>0.2</v>
      </c>
      <c r="D82" s="24">
        <v>1.0</v>
      </c>
      <c r="E82" s="24">
        <f>1/D83</f>
        <v>0.4</v>
      </c>
      <c r="F82" s="36"/>
      <c r="G82" s="23" t="s">
        <v>17</v>
      </c>
      <c r="H82" s="25">
        <f t="shared" ref="H82:I82" si="47">1/5</f>
        <v>0.2</v>
      </c>
      <c r="I82" s="24">
        <f t="shared" si="47"/>
        <v>0.2</v>
      </c>
      <c r="J82" s="24">
        <v>1.0</v>
      </c>
      <c r="K82" s="24">
        <f>1/J83</f>
        <v>0.3333333333</v>
      </c>
      <c r="M82" s="36"/>
      <c r="N82" s="23" t="s">
        <v>17</v>
      </c>
      <c r="O82" s="25">
        <f>1/7</f>
        <v>0.1428571429</v>
      </c>
      <c r="P82" s="24">
        <f>1/5</f>
        <v>0.2</v>
      </c>
      <c r="Q82" s="24">
        <v>1.0</v>
      </c>
      <c r="R82" s="24">
        <f>1/Q83</f>
        <v>0.5</v>
      </c>
      <c r="T82" s="36"/>
      <c r="U82" s="3"/>
    </row>
    <row r="83" ht="15.75" customHeight="1">
      <c r="A83" s="23" t="s">
        <v>18</v>
      </c>
      <c r="B83" s="25">
        <f>1/4</f>
        <v>0.25</v>
      </c>
      <c r="C83" s="25">
        <f>1/2</f>
        <v>0.5</v>
      </c>
      <c r="D83" s="25">
        <v>2.5</v>
      </c>
      <c r="E83" s="24">
        <v>1.0</v>
      </c>
      <c r="F83" s="36"/>
      <c r="G83" s="23" t="s">
        <v>18</v>
      </c>
      <c r="H83" s="25">
        <f>1/4</f>
        <v>0.25</v>
      </c>
      <c r="I83" s="25">
        <f>1/2</f>
        <v>0.5</v>
      </c>
      <c r="J83" s="25">
        <v>3.0</v>
      </c>
      <c r="K83" s="24">
        <v>1.0</v>
      </c>
      <c r="M83" s="36"/>
      <c r="N83" s="23" t="s">
        <v>18</v>
      </c>
      <c r="O83" s="25">
        <f>1/5</f>
        <v>0.2</v>
      </c>
      <c r="P83" s="25">
        <f>1/2</f>
        <v>0.5</v>
      </c>
      <c r="Q83" s="25">
        <v>2.0</v>
      </c>
      <c r="R83" s="24">
        <v>1.0</v>
      </c>
      <c r="T83" s="36"/>
      <c r="U83" s="3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M84" s="37"/>
      <c r="N84" s="37"/>
      <c r="O84" s="37"/>
      <c r="P84" s="37"/>
      <c r="Q84" s="37"/>
      <c r="R84" s="37"/>
      <c r="S84" s="37"/>
      <c r="T84" s="37"/>
      <c r="U84" s="3"/>
    </row>
    <row r="85" ht="15.75" customHeight="1">
      <c r="A85" s="36"/>
      <c r="B85" s="36"/>
      <c r="C85" s="36"/>
      <c r="D85" s="36"/>
      <c r="E85" s="36"/>
      <c r="F85" s="36"/>
      <c r="G85" s="37"/>
      <c r="H85" s="37"/>
      <c r="I85" s="37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"/>
    </row>
    <row r="86" ht="15.75" customHeight="1">
      <c r="A86" s="46" t="s">
        <v>32</v>
      </c>
      <c r="T86" s="36"/>
      <c r="U86" s="3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"/>
    </row>
    <row r="88" ht="15.75" customHeight="1">
      <c r="A88" s="26" t="s">
        <v>8</v>
      </c>
      <c r="B88" s="23" t="s">
        <v>15</v>
      </c>
      <c r="C88" s="23" t="s">
        <v>16</v>
      </c>
      <c r="D88" s="23" t="s">
        <v>17</v>
      </c>
      <c r="E88" s="23" t="s">
        <v>18</v>
      </c>
      <c r="F88" s="36"/>
      <c r="G88" s="40" t="s">
        <v>21</v>
      </c>
      <c r="H88" s="40" t="s">
        <v>22</v>
      </c>
      <c r="I88" s="41" t="s">
        <v>23</v>
      </c>
      <c r="J88" s="40" t="s">
        <v>24</v>
      </c>
      <c r="K88" s="29" t="s">
        <v>25</v>
      </c>
      <c r="L88" s="36"/>
      <c r="M88" s="16" t="s">
        <v>26</v>
      </c>
      <c r="N88" s="23" t="s">
        <v>15</v>
      </c>
      <c r="O88" s="23" t="s">
        <v>16</v>
      </c>
      <c r="P88" s="23" t="s">
        <v>17</v>
      </c>
      <c r="Q88" s="23" t="s">
        <v>18</v>
      </c>
      <c r="R88" s="36"/>
      <c r="S88" s="18" t="s">
        <v>10</v>
      </c>
      <c r="T88" s="18" t="s">
        <v>11</v>
      </c>
      <c r="U88" s="3"/>
    </row>
    <row r="89" ht="15.75" customHeight="1">
      <c r="A89" s="23" t="s">
        <v>15</v>
      </c>
      <c r="B89" s="42">
        <f t="shared" ref="B89:E89" si="48">POWER(B80*H80*O80,1/3)</f>
        <v>1</v>
      </c>
      <c r="C89" s="42">
        <f t="shared" si="48"/>
        <v>2.289428485</v>
      </c>
      <c r="D89" s="42">
        <f t="shared" si="48"/>
        <v>3.744436194</v>
      </c>
      <c r="E89" s="42">
        <f t="shared" si="48"/>
        <v>4.30886938</v>
      </c>
      <c r="F89" s="36"/>
      <c r="G89" s="43">
        <v>1.0</v>
      </c>
      <c r="H89" s="43">
        <f t="array" ref="H89:H92">MMULT(B89:E92,G89:G92)/MMULT(TRANSPOSE(G89:G92),MMULT(B89:E92,G89:G92))</f>
        <v>0.4387843947</v>
      </c>
      <c r="I89" s="43">
        <f t="array" ref="I89">MMULT(TRANSPOSE(G89:G92),MMULT(B89:E92,H89:H92))</f>
        <v>4.288868592</v>
      </c>
      <c r="J89" s="43">
        <f>(I89-T3)/(T3-1)</f>
        <v>0.09628953081</v>
      </c>
      <c r="K89" s="33">
        <f>J89/U3</f>
        <v>0.1069883676</v>
      </c>
      <c r="L89" s="36"/>
      <c r="M89" s="23" t="s">
        <v>15</v>
      </c>
      <c r="N89" s="42">
        <f t="shared" ref="N89:N92" si="50">B89/$B$37</f>
        <v>0.1376467601</v>
      </c>
      <c r="O89" s="42">
        <f t="shared" ref="O89:O92" si="51">C89/$C$37</f>
        <v>1.411946848</v>
      </c>
      <c r="P89" s="42">
        <f t="shared" ref="P89:P92" si="52">D89/$D$37</f>
        <v>0.6609552291</v>
      </c>
      <c r="Q89" s="42">
        <f t="shared" ref="Q89:Q92" si="53">E89/$E$37</f>
        <v>0.2471512284</v>
      </c>
      <c r="R89" s="36"/>
      <c r="S89" s="3">
        <f t="shared" ref="S89:S92" si="54">AVERAGE(N89:R89)</f>
        <v>0.6144250164</v>
      </c>
      <c r="T89" s="20">
        <f t="shared" ref="T89:T92" si="55">AVERAGE(N89:R89)</f>
        <v>0.6144250164</v>
      </c>
      <c r="U89" s="3"/>
    </row>
    <row r="90" ht="15.75" customHeight="1">
      <c r="A90" s="23" t="s">
        <v>16</v>
      </c>
      <c r="B90" s="42">
        <f t="shared" ref="B90:E90" si="49">POWER(B81*H81*O81,1/3)</f>
        <v>0.4367902324</v>
      </c>
      <c r="C90" s="42">
        <f t="shared" si="49"/>
        <v>1</v>
      </c>
      <c r="D90" s="42">
        <f t="shared" si="49"/>
        <v>5</v>
      </c>
      <c r="E90" s="42">
        <f t="shared" si="49"/>
        <v>2</v>
      </c>
      <c r="F90" s="36"/>
      <c r="G90" s="43">
        <v>1.0</v>
      </c>
      <c r="H90" s="43">
        <v>0.32637033333041005</v>
      </c>
      <c r="I90" s="44"/>
      <c r="J90" s="44"/>
      <c r="K90" s="44"/>
      <c r="L90" s="36"/>
      <c r="M90" s="23" t="s">
        <v>16</v>
      </c>
      <c r="N90" s="42">
        <f t="shared" si="50"/>
        <v>0.06012276034</v>
      </c>
      <c r="O90" s="42">
        <f t="shared" si="51"/>
        <v>0.6167245918</v>
      </c>
      <c r="P90" s="42">
        <f t="shared" si="52"/>
        <v>0.8825831112</v>
      </c>
      <c r="Q90" s="42">
        <f t="shared" si="53"/>
        <v>0.1147174382</v>
      </c>
      <c r="R90" s="36"/>
      <c r="S90" s="3">
        <f t="shared" si="54"/>
        <v>0.4185369754</v>
      </c>
      <c r="T90" s="20">
        <f t="shared" si="55"/>
        <v>0.4185369754</v>
      </c>
      <c r="U90" s="3"/>
    </row>
    <row r="91" ht="15.75" customHeight="1">
      <c r="A91" s="23" t="s">
        <v>17</v>
      </c>
      <c r="B91" s="42">
        <f t="shared" ref="B91:E91" si="56">POWER(B82*H82*O82,1/3)</f>
        <v>0.267062903</v>
      </c>
      <c r="C91" s="42">
        <f t="shared" si="56"/>
        <v>0.2</v>
      </c>
      <c r="D91" s="42">
        <f t="shared" si="56"/>
        <v>1</v>
      </c>
      <c r="E91" s="42">
        <f t="shared" si="56"/>
        <v>0.405480133</v>
      </c>
      <c r="F91" s="36"/>
      <c r="G91" s="43">
        <v>1.0</v>
      </c>
      <c r="H91" s="43">
        <v>0.07243779660490232</v>
      </c>
      <c r="I91" s="44"/>
      <c r="J91" s="44"/>
      <c r="K91" s="44"/>
      <c r="L91" s="36"/>
      <c r="M91" s="23" t="s">
        <v>17</v>
      </c>
      <c r="N91" s="42">
        <f t="shared" si="50"/>
        <v>0.03676034335</v>
      </c>
      <c r="O91" s="42">
        <f t="shared" si="51"/>
        <v>0.1233449184</v>
      </c>
      <c r="P91" s="42">
        <f t="shared" si="52"/>
        <v>0.1765166222</v>
      </c>
      <c r="Q91" s="42">
        <f t="shared" si="53"/>
        <v>0.02325782106</v>
      </c>
      <c r="R91" s="36"/>
      <c r="S91" s="3">
        <f t="shared" si="54"/>
        <v>0.08996992625</v>
      </c>
      <c r="T91" s="20">
        <f t="shared" si="55"/>
        <v>0.08996992625</v>
      </c>
      <c r="U91" s="3"/>
    </row>
    <row r="92" ht="15.75" customHeight="1">
      <c r="A92" s="23" t="s">
        <v>18</v>
      </c>
      <c r="B92" s="42">
        <f t="shared" ref="B92:E92" si="57">POWER(B83*H83*O83,1/3)</f>
        <v>0.2320794417</v>
      </c>
      <c r="C92" s="42">
        <f t="shared" si="57"/>
        <v>0.5</v>
      </c>
      <c r="D92" s="42">
        <f t="shared" si="57"/>
        <v>2.466212074</v>
      </c>
      <c r="E92" s="42">
        <f t="shared" si="57"/>
        <v>1</v>
      </c>
      <c r="F92" s="36"/>
      <c r="G92" s="43">
        <v>1.0</v>
      </c>
      <c r="H92" s="43">
        <v>0.16240747532657016</v>
      </c>
      <c r="I92" s="44"/>
      <c r="J92" s="44"/>
      <c r="K92" s="44"/>
      <c r="L92" s="36"/>
      <c r="M92" s="23" t="s">
        <v>18</v>
      </c>
      <c r="N92" s="42">
        <f t="shared" si="50"/>
        <v>0.03194498324</v>
      </c>
      <c r="O92" s="42">
        <f t="shared" si="51"/>
        <v>0.3083622959</v>
      </c>
      <c r="P92" s="42">
        <f t="shared" si="52"/>
        <v>0.4353274251</v>
      </c>
      <c r="Q92" s="42">
        <f t="shared" si="53"/>
        <v>0.05735871911</v>
      </c>
      <c r="R92" s="36"/>
      <c r="S92" s="3">
        <f t="shared" si="54"/>
        <v>0.2082483558</v>
      </c>
      <c r="T92" s="20">
        <f t="shared" si="55"/>
        <v>0.2082483558</v>
      </c>
      <c r="U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14" t="s">
        <v>12</v>
      </c>
      <c r="B94" s="14">
        <f t="shared" ref="B94:E94" si="58">SUM(B89:B93)</f>
        <v>1.935932577</v>
      </c>
      <c r="C94" s="14">
        <f t="shared" si="58"/>
        <v>3.989428485</v>
      </c>
      <c r="D94" s="14">
        <f t="shared" si="58"/>
        <v>12.21064827</v>
      </c>
      <c r="E94" s="14">
        <f t="shared" si="58"/>
        <v>7.714349513</v>
      </c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47" t="s">
        <v>33</v>
      </c>
      <c r="T96" s="3"/>
      <c r="U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4" t="s">
        <v>34</v>
      </c>
      <c r="B98" s="48" t="s">
        <v>5</v>
      </c>
      <c r="C98" s="48" t="s">
        <v>6</v>
      </c>
      <c r="D98" s="48" t="s">
        <v>7</v>
      </c>
      <c r="E98" s="48" t="s">
        <v>8</v>
      </c>
      <c r="F98" s="3"/>
      <c r="G98" s="49" t="s">
        <v>35</v>
      </c>
      <c r="H98" s="49" t="s">
        <v>34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50" t="s">
        <v>15</v>
      </c>
      <c r="B99" s="34">
        <f t="shared" ref="B99:B102" si="59">S32</f>
        <v>0.1456032916</v>
      </c>
      <c r="C99" s="34">
        <f t="shared" ref="C99:C102" si="60">S51</f>
        <v>0.6862173094</v>
      </c>
      <c r="D99" s="34">
        <f t="shared" ref="D99:D102" si="61">S70</f>
        <v>0.2577263803</v>
      </c>
      <c r="E99" s="34">
        <f t="shared" ref="E99:E102" si="62">S89</f>
        <v>0.6144250164</v>
      </c>
      <c r="F99" s="3"/>
      <c r="G99" s="51" t="s">
        <v>5</v>
      </c>
      <c r="H99" s="34">
        <f t="shared" ref="H99:H102" si="63">M13</f>
        <v>0.5491867752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50" t="s">
        <v>16</v>
      </c>
      <c r="B100" s="34">
        <f t="shared" si="59"/>
        <v>0.5842161629</v>
      </c>
      <c r="C100" s="34">
        <f t="shared" si="60"/>
        <v>0.2279031583</v>
      </c>
      <c r="D100" s="34">
        <f t="shared" si="61"/>
        <v>0.6288659307</v>
      </c>
      <c r="E100" s="34">
        <f t="shared" si="62"/>
        <v>0.4185369754</v>
      </c>
      <c r="F100" s="3"/>
      <c r="G100" s="51" t="s">
        <v>6</v>
      </c>
      <c r="H100" s="34">
        <f t="shared" si="63"/>
        <v>0.059300388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50" t="s">
        <v>17</v>
      </c>
      <c r="B101" s="34">
        <f t="shared" si="59"/>
        <v>0.2177412344</v>
      </c>
      <c r="C101" s="34">
        <f t="shared" si="60"/>
        <v>0.5656830415</v>
      </c>
      <c r="D101" s="34">
        <f t="shared" si="61"/>
        <v>0.08450023993</v>
      </c>
      <c r="E101" s="34">
        <f t="shared" si="62"/>
        <v>0.08996992625</v>
      </c>
      <c r="F101" s="3"/>
      <c r="G101" s="51" t="s">
        <v>7</v>
      </c>
      <c r="H101" s="34">
        <f t="shared" si="63"/>
        <v>0.1309337657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50" t="s">
        <v>18</v>
      </c>
      <c r="B102" s="34">
        <f t="shared" si="59"/>
        <v>0.05243931108</v>
      </c>
      <c r="C102" s="34">
        <f t="shared" si="60"/>
        <v>0.0781577774</v>
      </c>
      <c r="D102" s="34">
        <f t="shared" si="61"/>
        <v>0.1573861142</v>
      </c>
      <c r="E102" s="34">
        <f t="shared" si="62"/>
        <v>0.2082483558</v>
      </c>
      <c r="F102" s="3"/>
      <c r="G102" s="51" t="s">
        <v>8</v>
      </c>
      <c r="H102" s="34">
        <f t="shared" si="63"/>
        <v>0.260579071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52" t="s">
        <v>36</v>
      </c>
      <c r="B105" s="53" t="s">
        <v>10</v>
      </c>
      <c r="C105" s="53" t="s">
        <v>11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54" t="s">
        <v>15</v>
      </c>
      <c r="B106" s="55">
        <f t="array" ref="B106:B109">MMULT(B99:E102,H99:H102)</f>
        <v>0.3145077404</v>
      </c>
      <c r="C106" s="56">
        <f t="shared" ref="C106:C109" si="64">B106</f>
        <v>0.3145077404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57" t="s">
        <v>16</v>
      </c>
      <c r="B107" s="58">
        <v>0.5257602969559335</v>
      </c>
      <c r="C107" s="59">
        <f t="shared" si="64"/>
        <v>0.525760297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60" t="s">
        <v>17</v>
      </c>
      <c r="B108" s="61">
        <v>0.187634044604344</v>
      </c>
      <c r="C108" s="62">
        <f t="shared" si="64"/>
        <v>0.1876340446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50" t="s">
        <v>18</v>
      </c>
      <c r="B109" s="34">
        <v>0.10830608238168707</v>
      </c>
      <c r="C109" s="33">
        <f t="shared" si="64"/>
        <v>0.1083060824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4">
    <mergeCell ref="A39:S39"/>
    <mergeCell ref="A48:S48"/>
    <mergeCell ref="A58:S58"/>
    <mergeCell ref="A67:S67"/>
    <mergeCell ref="A77:S77"/>
    <mergeCell ref="A86:S86"/>
    <mergeCell ref="A96:S96"/>
    <mergeCell ref="A1:E1"/>
    <mergeCell ref="G1:L1"/>
    <mergeCell ref="N1:S1"/>
    <mergeCell ref="A10:S10"/>
    <mergeCell ref="A20:S20"/>
    <mergeCell ref="A29:S29"/>
    <mergeCell ref="G30:K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3" width="12.63"/>
    <col customWidth="1" min="4" max="4" width="16.5"/>
    <col customWidth="1" min="5" max="6" width="12.63"/>
  </cols>
  <sheetData>
    <row r="1" ht="15.75" customHeight="1"/>
    <row r="2" ht="15.75" customHeight="1"/>
    <row r="3" ht="15.75" customHeight="1">
      <c r="A3" s="63" t="s">
        <v>37</v>
      </c>
      <c r="B3" s="63" t="s">
        <v>38</v>
      </c>
      <c r="C3" s="64"/>
      <c r="D3" s="63" t="s">
        <v>35</v>
      </c>
    </row>
    <row r="4" ht="15.75" customHeight="1">
      <c r="A4" s="34" t="s">
        <v>39</v>
      </c>
      <c r="B4" s="34" t="s">
        <v>40</v>
      </c>
      <c r="C4" s="64"/>
      <c r="D4" s="34" t="s">
        <v>41</v>
      </c>
    </row>
    <row r="5" ht="15.75" customHeight="1">
      <c r="A5" s="34" t="s">
        <v>42</v>
      </c>
      <c r="B5" s="34" t="s">
        <v>43</v>
      </c>
      <c r="C5" s="64"/>
      <c r="D5" s="34" t="s">
        <v>6</v>
      </c>
    </row>
    <row r="6" ht="15.75" customHeight="1">
      <c r="A6" s="34" t="s">
        <v>44</v>
      </c>
      <c r="B6" s="34" t="s">
        <v>45</v>
      </c>
      <c r="C6" s="64"/>
      <c r="D6" s="51" t="s">
        <v>7</v>
      </c>
    </row>
    <row r="7" ht="15.75" customHeight="1">
      <c r="A7" s="34" t="s">
        <v>46</v>
      </c>
      <c r="B7" s="34" t="s">
        <v>47</v>
      </c>
      <c r="C7" s="64"/>
      <c r="D7" s="51" t="s">
        <v>8</v>
      </c>
    </row>
    <row r="8" ht="15.75" customHeight="1">
      <c r="A8" s="34" t="s">
        <v>48</v>
      </c>
      <c r="B8" s="34" t="s">
        <v>49</v>
      </c>
      <c r="C8" s="64"/>
      <c r="D8" s="34" t="s">
        <v>50</v>
      </c>
    </row>
    <row r="9" ht="15.75" customHeight="1">
      <c r="A9" s="64"/>
      <c r="B9" s="64"/>
      <c r="C9" s="64"/>
      <c r="D9" s="64"/>
    </row>
    <row r="10" ht="15.75" customHeight="1">
      <c r="A10" s="64"/>
      <c r="B10" s="64"/>
      <c r="C10" s="64"/>
      <c r="D10" s="64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